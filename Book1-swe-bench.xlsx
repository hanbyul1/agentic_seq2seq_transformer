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-kyookim/Library/CloudStorage/Dropbox/Software2025/experiments/"/>
    </mc:Choice>
  </mc:AlternateContent>
  <xr:revisionPtr revIDLastSave="0" documentId="13_ncr:1_{C01D26A8-3A03-C849-841B-A5392EDC17FC}" xr6:coauthVersionLast="47" xr6:coauthVersionMax="47" xr10:uidLastSave="{00000000-0000-0000-0000-000000000000}"/>
  <bookViews>
    <workbookView xWindow="180" yWindow="760" windowWidth="34380" windowHeight="19800" activeTab="2" xr2:uid="{19D1AD19-4B6A-804E-9220-7AB63C592D92}"/>
  </bookViews>
  <sheets>
    <sheet name="Sheet1" sheetId="1" r:id="rId1"/>
    <sheet name="Sheet2" sheetId="2" r:id="rId2"/>
    <sheet name="Sheet6" sheetId="6" r:id="rId3"/>
    <sheet name="Sheet3" sheetId="3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6" l="1"/>
  <c r="R6" i="6"/>
  <c r="R7" i="6"/>
  <c r="R8" i="6"/>
  <c r="R9" i="6"/>
  <c r="R10" i="6"/>
  <c r="R11" i="6"/>
  <c r="R12" i="6"/>
  <c r="R13" i="6"/>
  <c r="R2" i="6"/>
  <c r="Q3" i="6"/>
  <c r="R3" i="6" s="1"/>
  <c r="Q4" i="6"/>
  <c r="R4" i="6" s="1"/>
  <c r="Q5" i="6"/>
  <c r="R5" i="6" s="1"/>
  <c r="Q6" i="6"/>
  <c r="Q7" i="6"/>
  <c r="Q8" i="6"/>
  <c r="Q9" i="6"/>
  <c r="Q10" i="6"/>
  <c r="Q11" i="6"/>
  <c r="Q12" i="6"/>
  <c r="Q13" i="6"/>
  <c r="Q2" i="6"/>
  <c r="P14" i="6"/>
  <c r="O14" i="6"/>
  <c r="G3" i="2"/>
  <c r="G4" i="2"/>
  <c r="G5" i="2"/>
  <c r="G6" i="2"/>
  <c r="G7" i="2"/>
  <c r="G8" i="2"/>
  <c r="G2" i="2"/>
  <c r="P8" i="5"/>
  <c r="Q8" i="5"/>
  <c r="R8" i="5"/>
  <c r="S8" i="5"/>
  <c r="T8" i="5"/>
  <c r="U8" i="5"/>
  <c r="V8" i="5"/>
  <c r="W8" i="5"/>
  <c r="X8" i="5"/>
  <c r="Y8" i="5"/>
  <c r="Z8" i="5"/>
  <c r="AA8" i="5"/>
  <c r="O8" i="5"/>
  <c r="P8" i="4"/>
  <c r="Q8" i="4"/>
  <c r="R8" i="4"/>
  <c r="S8" i="4"/>
  <c r="T8" i="4"/>
  <c r="U8" i="4"/>
  <c r="V8" i="4"/>
  <c r="W8" i="4"/>
  <c r="X8" i="4"/>
  <c r="Y8" i="4"/>
  <c r="Z8" i="4"/>
  <c r="AA8" i="4"/>
  <c r="O8" i="4"/>
  <c r="C8" i="3"/>
  <c r="D8" i="3"/>
  <c r="E8" i="3"/>
  <c r="B8" i="3"/>
  <c r="C8" i="2"/>
  <c r="D8" i="2"/>
  <c r="E8" i="2"/>
  <c r="F8" i="2"/>
  <c r="B8" i="2"/>
  <c r="R8" i="1"/>
  <c r="S8" i="1"/>
  <c r="T8" i="1"/>
  <c r="Q8" i="1"/>
  <c r="P8" i="1"/>
  <c r="D38" i="5"/>
  <c r="E38" i="5"/>
  <c r="F38" i="5"/>
  <c r="D33" i="5"/>
  <c r="E33" i="5"/>
  <c r="F33" i="5"/>
  <c r="D28" i="5"/>
  <c r="E28" i="5"/>
  <c r="F28" i="5"/>
  <c r="D23" i="5"/>
  <c r="E23" i="5"/>
  <c r="F23" i="5"/>
  <c r="D18" i="5"/>
  <c r="E18" i="5"/>
  <c r="F18" i="5"/>
  <c r="D10" i="5"/>
  <c r="E10" i="5"/>
  <c r="F10" i="5"/>
  <c r="C38" i="5"/>
  <c r="C33" i="5"/>
  <c r="C28" i="5"/>
  <c r="C23" i="5"/>
  <c r="C18" i="5"/>
  <c r="C10" i="5"/>
  <c r="D35" i="4"/>
  <c r="E35" i="4"/>
  <c r="F35" i="4"/>
  <c r="D30" i="4"/>
  <c r="E30" i="4"/>
  <c r="F30" i="4"/>
  <c r="D25" i="4"/>
  <c r="E25" i="4"/>
  <c r="F25" i="4"/>
  <c r="C35" i="4"/>
  <c r="D20" i="4"/>
  <c r="E20" i="4"/>
  <c r="F20" i="4"/>
  <c r="C30" i="4"/>
  <c r="C25" i="4"/>
  <c r="C20" i="4"/>
  <c r="D15" i="4"/>
  <c r="E15" i="4"/>
  <c r="F15" i="4"/>
  <c r="C15" i="4"/>
  <c r="D10" i="4"/>
  <c r="E10" i="4"/>
  <c r="F10" i="4"/>
  <c r="C10" i="4"/>
  <c r="K61" i="1"/>
  <c r="L61" i="1"/>
  <c r="M61" i="1"/>
  <c r="J61" i="1"/>
  <c r="K46" i="1"/>
  <c r="L46" i="1"/>
  <c r="M46" i="1"/>
  <c r="J46" i="1"/>
  <c r="K33" i="1"/>
  <c r="L33" i="1"/>
  <c r="M33" i="1"/>
  <c r="J33" i="1"/>
  <c r="K22" i="1"/>
  <c r="L22" i="1"/>
  <c r="M22" i="1"/>
  <c r="J22" i="1"/>
  <c r="K13" i="1"/>
  <c r="L13" i="1"/>
  <c r="M13" i="1"/>
  <c r="J13" i="1"/>
  <c r="K6" i="1"/>
  <c r="L6" i="1"/>
  <c r="M6" i="1"/>
  <c r="J6" i="1"/>
  <c r="Q14" i="6" l="1"/>
</calcChain>
</file>

<file path=xl/sharedStrings.xml><?xml version="1.0" encoding="utf-8"?>
<sst xmlns="http://schemas.openxmlformats.org/spreadsheetml/2006/main" count="211" uniqueCount="72">
  <si>
    <t>Round</t>
  </si>
  <si>
    <t>Epoch</t>
  </si>
  <si>
    <t>ΔCE</t>
  </si>
  <si>
    <t>acc (no-issue)</t>
  </si>
  <si>
    <t>acc (with gist)</t>
  </si>
  <si>
    <t>Sampled</t>
  </si>
  <si>
    <t>Avg Tokens</t>
  </si>
  <si>
    <t>Avg Lines</t>
  </si>
  <si>
    <t>Code Leak Lines</t>
  </si>
  <si>
    <t>Before FT CE</t>
  </si>
  <si>
    <t>Before FT tok_acc</t>
  </si>
  <si>
    <t>After FT CE</t>
  </si>
  <si>
    <t>After FT tok_acc</t>
  </si>
  <si>
    <t>ΔCE (%)</t>
  </si>
  <si>
    <t>Δacc (%)</t>
  </si>
  <si>
    <t>-0.070 (-1.26%)</t>
  </si>
  <si>
    <t>+0.016 (+8.03%)</t>
  </si>
  <si>
    <t>+0.013 (+0.24%)</t>
  </si>
  <si>
    <t>+0.010 (+4.62%)</t>
  </si>
  <si>
    <t>-0.066 (-1.16%)</t>
  </si>
  <si>
    <t>+0.014 (+6.27%)</t>
  </si>
  <si>
    <t>-0.096 (-1.72%)</t>
  </si>
  <si>
    <t>+0.012 (+5.15%)</t>
  </si>
  <si>
    <t>-0.118 (-2.03%)</t>
  </si>
  <si>
    <t>+0.015 (+6.42%)</t>
  </si>
  <si>
    <t>-0.169 (-4.15%)</t>
  </si>
  <si>
    <t>+0.026 (+7.09%)</t>
  </si>
  <si>
    <t>-0.090 (-2.29%)</t>
  </si>
  <si>
    <t>+0.021 (+5.59%)</t>
  </si>
  <si>
    <t>-0.081 (-2.08%)</t>
  </si>
  <si>
    <t>+0.016 (+4.05%)</t>
  </si>
  <si>
    <t>-0.084 (-2.19%)</t>
  </si>
  <si>
    <t>+0.014 (+3.52%)</t>
  </si>
  <si>
    <t>-0.089 (-2.30%)</t>
  </si>
  <si>
    <t>+0.017 (+4.35%)</t>
  </si>
  <si>
    <t>Issue CE</t>
  </si>
  <si>
    <t>Issue tok_acc</t>
  </si>
  <si>
    <t>Code CE</t>
  </si>
  <si>
    <t>Code tok_acc</t>
  </si>
  <si>
    <t>CODE CE (no-issue)</t>
  </si>
  <si>
    <t>CODE CE (with gist)</t>
  </si>
  <si>
    <t>TrainCE</t>
  </si>
  <si>
    <t>TrainAcc</t>
  </si>
  <si>
    <t>DevCE</t>
  </si>
  <si>
    <t>DevAcc</t>
  </si>
  <si>
    <t>-0.156 (-2.75%)</t>
  </si>
  <si>
    <t>+0.020 (+10.98%)</t>
  </si>
  <si>
    <t>-</t>
  </si>
  <si>
    <t>-0.326 (-7.59%)</t>
  </si>
  <si>
    <t>+0.030 (+8.77%)</t>
  </si>
  <si>
    <t>Averege</t>
  </si>
  <si>
    <t>Average</t>
  </si>
  <si>
    <t xml:space="preserve"> </t>
  </si>
  <si>
    <t xml:space="preserve">Average </t>
  </si>
  <si>
    <t>ΔCE %</t>
  </si>
  <si>
    <t>Δacc</t>
  </si>
  <si>
    <t>Δacc %</t>
  </si>
  <si>
    <t>Global JT Epochs</t>
  </si>
  <si>
    <t>FT Epochs</t>
  </si>
  <si>
    <t>Eff FT (JT eqv)</t>
  </si>
  <si>
    <t>Savings Ratio</t>
  </si>
  <si>
    <t>Avg</t>
  </si>
  <si>
    <t>JT Epochs</t>
  </si>
  <si>
    <t>Eff. FT ($ft_ep \times p$)</t>
  </si>
  <si>
    <t>Savings ($jt_ep/,$Eff FT)</t>
  </si>
  <si>
    <t>Agent</t>
  </si>
  <si>
    <t>JT</t>
  </si>
  <si>
    <t>FT</t>
  </si>
  <si>
    <t>Eff FT</t>
  </si>
  <si>
    <t>Savings</t>
  </si>
  <si>
    <t>Issue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</si>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</sst>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1" xfId="0" applyFont="1" applyBorder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3F76-1C22-9140-B571-D19DEED09D7F}">
  <dimension ref="A1:T61"/>
  <sheetViews>
    <sheetView workbookViewId="0">
      <selection activeCell="O8" sqref="O8:T8"/>
    </sheetView>
  </sheetViews>
  <sheetFormatPr baseColWidth="10" defaultRowHeight="16" x14ac:dyDescent="0.2"/>
  <cols>
    <col min="4" max="4" width="12.5" bestFit="1" customWidth="1"/>
    <col min="6" max="6" width="12.33203125" bestFit="1" customWidth="1"/>
    <col min="10" max="10" width="10.83203125" style="3"/>
    <col min="11" max="11" width="12.5" style="3" bestFit="1" customWidth="1"/>
    <col min="12" max="12" width="10.83203125" style="3"/>
    <col min="13" max="13" width="12.33203125" style="3" bestFit="1" customWidth="1"/>
    <col min="18" max="18" width="12.5" bestFit="1" customWidth="1"/>
    <col min="20" max="20" width="12.33203125" bestFit="1" customWidth="1"/>
  </cols>
  <sheetData>
    <row r="1" spans="1:20" x14ac:dyDescent="0.2">
      <c r="A1" s="4" t="s">
        <v>0</v>
      </c>
      <c r="B1" s="4" t="s">
        <v>1</v>
      </c>
      <c r="C1" s="4" t="s">
        <v>35</v>
      </c>
      <c r="D1" s="4" t="s">
        <v>36</v>
      </c>
      <c r="E1" s="4" t="s">
        <v>37</v>
      </c>
      <c r="F1" s="4" t="s">
        <v>38</v>
      </c>
      <c r="H1" s="4" t="s">
        <v>0</v>
      </c>
      <c r="I1" s="4" t="s">
        <v>1</v>
      </c>
      <c r="J1" s="4" t="s">
        <v>35</v>
      </c>
      <c r="K1" s="4" t="s">
        <v>36</v>
      </c>
      <c r="L1" s="4" t="s">
        <v>37</v>
      </c>
      <c r="M1" s="4" t="s">
        <v>38</v>
      </c>
      <c r="O1" s="4" t="s">
        <v>0</v>
      </c>
      <c r="P1" s="4" t="s">
        <v>1</v>
      </c>
      <c r="Q1" s="4" t="s">
        <v>35</v>
      </c>
      <c r="R1" s="4" t="s">
        <v>36</v>
      </c>
      <c r="S1" s="4" t="s">
        <v>37</v>
      </c>
      <c r="T1" s="4" t="s">
        <v>38</v>
      </c>
    </row>
    <row r="2" spans="1:20" x14ac:dyDescent="0.2">
      <c r="A2" s="5">
        <v>1</v>
      </c>
      <c r="B2" s="5">
        <v>1</v>
      </c>
      <c r="C2" s="5">
        <v>7.3609999999999998</v>
      </c>
      <c r="D2" s="5">
        <v>4.2999999999999997E-2</v>
      </c>
      <c r="E2" s="5">
        <v>6.4790000000000001</v>
      </c>
      <c r="F2" s="5">
        <v>0.108</v>
      </c>
      <c r="H2" s="5">
        <v>1</v>
      </c>
      <c r="I2" s="5">
        <v>1</v>
      </c>
      <c r="J2" s="5">
        <v>7.3609999999999998</v>
      </c>
      <c r="K2" s="5">
        <v>4.2999999999999997E-2</v>
      </c>
      <c r="L2" s="5">
        <v>6.4790000000000001</v>
      </c>
      <c r="M2" s="5">
        <v>0.108</v>
      </c>
      <c r="O2" s="5">
        <v>1</v>
      </c>
      <c r="P2" s="5">
        <v>4</v>
      </c>
      <c r="Q2" s="3">
        <v>6.3380000000000001</v>
      </c>
      <c r="R2" s="3">
        <v>0.11425</v>
      </c>
      <c r="S2" s="3">
        <v>5.0614999999999997</v>
      </c>
      <c r="T2" s="3">
        <v>0.25125000000000003</v>
      </c>
    </row>
    <row r="3" spans="1:20" x14ac:dyDescent="0.2">
      <c r="A3" s="5">
        <v>1</v>
      </c>
      <c r="B3" s="5">
        <v>2</v>
      </c>
      <c r="C3" s="5">
        <v>6.5650000000000004</v>
      </c>
      <c r="D3" s="5">
        <v>9.1999999999999998E-2</v>
      </c>
      <c r="E3" s="5">
        <v>5.0439999999999996</v>
      </c>
      <c r="F3" s="5">
        <v>0.25700000000000001</v>
      </c>
      <c r="H3" s="5">
        <v>1</v>
      </c>
      <c r="I3" s="5">
        <v>2</v>
      </c>
      <c r="J3" s="5">
        <v>6.5650000000000004</v>
      </c>
      <c r="K3" s="5">
        <v>9.1999999999999998E-2</v>
      </c>
      <c r="L3" s="5">
        <v>5.0439999999999996</v>
      </c>
      <c r="M3" s="5">
        <v>0.25700000000000001</v>
      </c>
      <c r="O3" s="5">
        <v>2</v>
      </c>
      <c r="P3" s="5">
        <v>6</v>
      </c>
      <c r="Q3" s="3">
        <v>5.9158333333333326</v>
      </c>
      <c r="R3" s="3">
        <v>0.14616666666666667</v>
      </c>
      <c r="S3" s="3">
        <v>4.6544999999999996</v>
      </c>
      <c r="T3" s="3">
        <v>0.28766666666666668</v>
      </c>
    </row>
    <row r="4" spans="1:20" x14ac:dyDescent="0.2">
      <c r="A4" s="5">
        <v>1</v>
      </c>
      <c r="B4" s="5">
        <v>3</v>
      </c>
      <c r="C4" s="5">
        <v>5.9530000000000003</v>
      </c>
      <c r="D4" s="5">
        <v>0.14000000000000001</v>
      </c>
      <c r="E4" s="5">
        <v>4.5199999999999996</v>
      </c>
      <c r="F4" s="5">
        <v>0.30599999999999999</v>
      </c>
      <c r="H4" s="5">
        <v>1</v>
      </c>
      <c r="I4" s="5">
        <v>3</v>
      </c>
      <c r="J4" s="5">
        <v>5.9530000000000003</v>
      </c>
      <c r="K4" s="5">
        <v>0.14000000000000001</v>
      </c>
      <c r="L4" s="5">
        <v>4.5199999999999996</v>
      </c>
      <c r="M4" s="5">
        <v>0.30599999999999999</v>
      </c>
      <c r="O4" s="5">
        <v>3</v>
      </c>
      <c r="P4" s="5">
        <v>8</v>
      </c>
      <c r="Q4" s="3">
        <v>5.5568749999999998</v>
      </c>
      <c r="R4" s="3">
        <v>0.17425000000000002</v>
      </c>
      <c r="S4" s="3">
        <v>4.3687499999999995</v>
      </c>
      <c r="T4" s="3">
        <v>0.31425000000000003</v>
      </c>
    </row>
    <row r="5" spans="1:20" x14ac:dyDescent="0.2">
      <c r="A5" s="5">
        <v>1</v>
      </c>
      <c r="B5" s="5">
        <v>4</v>
      </c>
      <c r="C5" s="5">
        <v>5.4729999999999999</v>
      </c>
      <c r="D5" s="5">
        <v>0.182</v>
      </c>
      <c r="E5" s="5">
        <v>4.2030000000000003</v>
      </c>
      <c r="F5" s="5">
        <v>0.33400000000000002</v>
      </c>
      <c r="H5" s="5">
        <v>1</v>
      </c>
      <c r="I5" s="5">
        <v>4</v>
      </c>
      <c r="J5" s="5">
        <v>5.4729999999999999</v>
      </c>
      <c r="K5" s="5">
        <v>0.182</v>
      </c>
      <c r="L5" s="5">
        <v>4.2030000000000003</v>
      </c>
      <c r="M5" s="5">
        <v>0.33400000000000002</v>
      </c>
      <c r="O5" s="5">
        <v>4</v>
      </c>
      <c r="P5" s="5">
        <v>10</v>
      </c>
      <c r="Q5" s="3">
        <v>5.2439999999999998</v>
      </c>
      <c r="R5" s="3">
        <v>0.20020000000000002</v>
      </c>
      <c r="S5" s="3">
        <v>4.1445999999999996</v>
      </c>
      <c r="T5" s="3">
        <v>0.33520000000000005</v>
      </c>
    </row>
    <row r="6" spans="1:20" x14ac:dyDescent="0.2">
      <c r="A6" s="5">
        <v>2</v>
      </c>
      <c r="B6" s="5">
        <v>1</v>
      </c>
      <c r="C6" s="5">
        <v>7.4290000000000003</v>
      </c>
      <c r="D6" s="5">
        <v>3.9E-2</v>
      </c>
      <c r="E6" s="5">
        <v>6.492</v>
      </c>
      <c r="F6" s="5">
        <v>0.104</v>
      </c>
      <c r="H6" t="s">
        <v>50</v>
      </c>
      <c r="J6" s="3">
        <f>AVERAGE(J2:J5)</f>
        <v>6.3380000000000001</v>
      </c>
      <c r="K6" s="3">
        <f t="shared" ref="K6:M6" si="0">AVERAGE(K2:K5)</f>
        <v>0.11425</v>
      </c>
      <c r="L6" s="3">
        <f t="shared" si="0"/>
        <v>5.0614999999999997</v>
      </c>
      <c r="M6" s="3">
        <f t="shared" si="0"/>
        <v>0.25125000000000003</v>
      </c>
      <c r="O6" s="5">
        <v>5</v>
      </c>
      <c r="P6" s="5">
        <v>12</v>
      </c>
      <c r="Q6" s="3">
        <v>4.9853333333333323</v>
      </c>
      <c r="R6" s="3">
        <v>0.22058333333333335</v>
      </c>
      <c r="S6" s="3">
        <v>3.9475833333333323</v>
      </c>
      <c r="T6" s="3">
        <v>0.35525000000000001</v>
      </c>
    </row>
    <row r="7" spans="1:20" x14ac:dyDescent="0.2">
      <c r="A7" s="5">
        <v>2</v>
      </c>
      <c r="B7" s="5">
        <v>2</v>
      </c>
      <c r="C7" s="5">
        <v>6.577</v>
      </c>
      <c r="D7" s="5">
        <v>0.09</v>
      </c>
      <c r="E7" s="5">
        <v>5.0199999999999996</v>
      </c>
      <c r="F7" s="5">
        <v>0.255</v>
      </c>
      <c r="H7" s="5">
        <v>2</v>
      </c>
      <c r="I7" s="5">
        <v>1</v>
      </c>
      <c r="J7" s="5">
        <v>7.4290000000000003</v>
      </c>
      <c r="K7" s="5">
        <v>3.9E-2</v>
      </c>
      <c r="L7" s="5">
        <v>6.492</v>
      </c>
      <c r="M7" s="5">
        <v>0.104</v>
      </c>
      <c r="O7" s="5">
        <v>6</v>
      </c>
      <c r="P7" s="5">
        <v>14</v>
      </c>
      <c r="Q7" s="3">
        <v>4.7383571428571418</v>
      </c>
      <c r="R7" s="3">
        <v>0.24292857142857147</v>
      </c>
      <c r="S7" s="3">
        <v>3.7842142857142851</v>
      </c>
      <c r="T7" s="3">
        <v>0.37107142857142855</v>
      </c>
    </row>
    <row r="8" spans="1:20" x14ac:dyDescent="0.2">
      <c r="A8" s="5">
        <v>2</v>
      </c>
      <c r="B8" s="5">
        <v>3</v>
      </c>
      <c r="C8" s="5">
        <v>5.968</v>
      </c>
      <c r="D8" s="5">
        <v>0.14099999999999999</v>
      </c>
      <c r="E8" s="5">
        <v>4.5090000000000003</v>
      </c>
      <c r="F8" s="5">
        <v>0.30499999999999999</v>
      </c>
      <c r="H8" s="5">
        <v>2</v>
      </c>
      <c r="I8" s="5">
        <v>2</v>
      </c>
      <c r="J8" s="5">
        <v>6.577</v>
      </c>
      <c r="K8" s="5">
        <v>0.09</v>
      </c>
      <c r="L8" s="5">
        <v>5.0199999999999996</v>
      </c>
      <c r="M8" s="5">
        <v>0.255</v>
      </c>
      <c r="O8" t="s">
        <v>53</v>
      </c>
      <c r="P8">
        <f>AVERAGE(P2:P7)</f>
        <v>9</v>
      </c>
      <c r="Q8" s="3">
        <f>AVERAGE(Q2:Q7)</f>
        <v>5.4630664682539676</v>
      </c>
      <c r="R8" s="3">
        <f t="shared" ref="R8:T8" si="1">AVERAGE(R2:R7)</f>
        <v>0.18306309523809525</v>
      </c>
      <c r="S8" s="3">
        <f t="shared" si="1"/>
        <v>4.3268579365079356</v>
      </c>
      <c r="T8" s="3">
        <f t="shared" si="1"/>
        <v>0.31911468253968256</v>
      </c>
    </row>
    <row r="9" spans="1:20" x14ac:dyDescent="0.2">
      <c r="A9" s="5">
        <v>2</v>
      </c>
      <c r="B9" s="5">
        <v>4</v>
      </c>
      <c r="C9" s="5">
        <v>5.5019999999999998</v>
      </c>
      <c r="D9" s="5">
        <v>0.17799999999999999</v>
      </c>
      <c r="E9" s="5">
        <v>4.1989999999999998</v>
      </c>
      <c r="F9" s="5">
        <v>0.33400000000000002</v>
      </c>
      <c r="H9" s="5">
        <v>2</v>
      </c>
      <c r="I9" s="5">
        <v>3</v>
      </c>
      <c r="J9" s="5">
        <v>5.968</v>
      </c>
      <c r="K9" s="5">
        <v>0.14099999999999999</v>
      </c>
      <c r="L9" s="5">
        <v>4.5090000000000003</v>
      </c>
      <c r="M9" s="5">
        <v>0.30499999999999999</v>
      </c>
    </row>
    <row r="10" spans="1:20" x14ac:dyDescent="0.2">
      <c r="A10" s="5">
        <v>2</v>
      </c>
      <c r="B10" s="5">
        <v>5</v>
      </c>
      <c r="C10" s="5">
        <v>5.1539999999999999</v>
      </c>
      <c r="D10" s="5">
        <v>0.20300000000000001</v>
      </c>
      <c r="E10" s="5">
        <v>3.9510000000000001</v>
      </c>
      <c r="F10" s="5">
        <v>0.35599999999999998</v>
      </c>
      <c r="H10" s="5">
        <v>2</v>
      </c>
      <c r="I10" s="5">
        <v>4</v>
      </c>
      <c r="J10" s="5">
        <v>5.5019999999999998</v>
      </c>
      <c r="K10" s="5">
        <v>0.17799999999999999</v>
      </c>
      <c r="L10" s="5">
        <v>4.1989999999999998</v>
      </c>
      <c r="M10" s="5">
        <v>0.33400000000000002</v>
      </c>
    </row>
    <row r="11" spans="1:20" x14ac:dyDescent="0.2">
      <c r="A11" s="5">
        <v>2</v>
      </c>
      <c r="B11" s="5">
        <v>6</v>
      </c>
      <c r="C11" s="5">
        <v>4.8650000000000002</v>
      </c>
      <c r="D11" s="5">
        <v>0.22600000000000001</v>
      </c>
      <c r="E11" s="5">
        <v>3.7559999999999998</v>
      </c>
      <c r="F11" s="5">
        <v>0.372</v>
      </c>
      <c r="H11" s="5">
        <v>2</v>
      </c>
      <c r="I11" s="5">
        <v>5</v>
      </c>
      <c r="J11" s="5">
        <v>5.1539999999999999</v>
      </c>
      <c r="K11" s="5">
        <v>0.20300000000000001</v>
      </c>
      <c r="L11" s="5">
        <v>3.9510000000000001</v>
      </c>
      <c r="M11" s="5">
        <v>0.35599999999999998</v>
      </c>
    </row>
    <row r="12" spans="1:20" x14ac:dyDescent="0.2">
      <c r="A12" s="5">
        <v>3</v>
      </c>
      <c r="B12" s="5">
        <v>1</v>
      </c>
      <c r="C12" s="5">
        <v>7.4290000000000003</v>
      </c>
      <c r="D12" s="5">
        <v>3.9E-2</v>
      </c>
      <c r="E12" s="5">
        <v>6.492</v>
      </c>
      <c r="F12" s="5">
        <v>0.104</v>
      </c>
      <c r="H12" s="5">
        <v>2</v>
      </c>
      <c r="I12" s="5">
        <v>6</v>
      </c>
      <c r="J12" s="5">
        <v>4.8650000000000002</v>
      </c>
      <c r="K12" s="5">
        <v>0.22600000000000001</v>
      </c>
      <c r="L12" s="5">
        <v>3.7559999999999998</v>
      </c>
      <c r="M12" s="5">
        <v>0.372</v>
      </c>
    </row>
    <row r="13" spans="1:20" x14ac:dyDescent="0.2">
      <c r="A13" s="5">
        <v>3</v>
      </c>
      <c r="B13" s="5">
        <v>2</v>
      </c>
      <c r="C13" s="5">
        <v>6.577</v>
      </c>
      <c r="D13" s="5">
        <v>0.09</v>
      </c>
      <c r="E13" s="5">
        <v>5.0199999999999996</v>
      </c>
      <c r="F13" s="5">
        <v>0.255</v>
      </c>
      <c r="H13" t="s">
        <v>50</v>
      </c>
      <c r="J13" s="3">
        <f>AVERAGE(J7:J12)</f>
        <v>5.9158333333333326</v>
      </c>
      <c r="K13" s="3">
        <f t="shared" ref="K13:M13" si="2">AVERAGE(K7:K12)</f>
        <v>0.14616666666666667</v>
      </c>
      <c r="L13" s="3">
        <f t="shared" si="2"/>
        <v>4.6544999999999996</v>
      </c>
      <c r="M13" s="3">
        <f t="shared" si="2"/>
        <v>0.28766666666666668</v>
      </c>
    </row>
    <row r="14" spans="1:20" x14ac:dyDescent="0.2">
      <c r="A14" s="5">
        <v>3</v>
      </c>
      <c r="B14" s="5">
        <v>3</v>
      </c>
      <c r="C14" s="5">
        <v>5.968</v>
      </c>
      <c r="D14" s="5">
        <v>0.14099999999999999</v>
      </c>
      <c r="E14" s="5">
        <v>4.5090000000000003</v>
      </c>
      <c r="F14" s="5">
        <v>0.30499999999999999</v>
      </c>
      <c r="H14" s="5">
        <v>3</v>
      </c>
      <c r="I14" s="5">
        <v>1</v>
      </c>
      <c r="J14" s="5">
        <v>7.4290000000000003</v>
      </c>
      <c r="K14" s="5">
        <v>3.9E-2</v>
      </c>
      <c r="L14" s="5">
        <v>6.492</v>
      </c>
      <c r="M14" s="5">
        <v>0.104</v>
      </c>
    </row>
    <row r="15" spans="1:20" x14ac:dyDescent="0.2">
      <c r="A15" s="5">
        <v>3</v>
      </c>
      <c r="B15" s="5">
        <v>4</v>
      </c>
      <c r="C15" s="5">
        <v>5.5019999999999998</v>
      </c>
      <c r="D15" s="5">
        <v>0.17799999999999999</v>
      </c>
      <c r="E15" s="5">
        <v>4.1989999999999998</v>
      </c>
      <c r="F15" s="5">
        <v>0.33400000000000002</v>
      </c>
      <c r="H15" s="5">
        <v>3</v>
      </c>
      <c r="I15" s="5">
        <v>2</v>
      </c>
      <c r="J15" s="5">
        <v>6.577</v>
      </c>
      <c r="K15" s="5">
        <v>0.09</v>
      </c>
      <c r="L15" s="5">
        <v>5.0199999999999996</v>
      </c>
      <c r="M15" s="5">
        <v>0.255</v>
      </c>
    </row>
    <row r="16" spans="1:20" x14ac:dyDescent="0.2">
      <c r="A16" s="5">
        <v>3</v>
      </c>
      <c r="B16" s="5">
        <v>5</v>
      </c>
      <c r="C16" s="5">
        <v>5.1539999999999999</v>
      </c>
      <c r="D16" s="5">
        <v>0.20300000000000001</v>
      </c>
      <c r="E16" s="5">
        <v>3.9510000000000001</v>
      </c>
      <c r="F16" s="5">
        <v>0.35599999999999998</v>
      </c>
      <c r="H16" s="5">
        <v>3</v>
      </c>
      <c r="I16" s="5">
        <v>3</v>
      </c>
      <c r="J16" s="5">
        <v>5.968</v>
      </c>
      <c r="K16" s="5">
        <v>0.14099999999999999</v>
      </c>
      <c r="L16" s="5">
        <v>4.5090000000000003</v>
      </c>
      <c r="M16" s="5">
        <v>0.30499999999999999</v>
      </c>
    </row>
    <row r="17" spans="1:13" x14ac:dyDescent="0.2">
      <c r="A17" s="5">
        <v>3</v>
      </c>
      <c r="B17" s="5">
        <v>6</v>
      </c>
      <c r="C17" s="5">
        <v>4.8650000000000002</v>
      </c>
      <c r="D17" s="5">
        <v>0.22600000000000001</v>
      </c>
      <c r="E17" s="5">
        <v>3.7559999999999998</v>
      </c>
      <c r="F17" s="5">
        <v>0.372</v>
      </c>
      <c r="H17" s="5">
        <v>3</v>
      </c>
      <c r="I17" s="5">
        <v>4</v>
      </c>
      <c r="J17" s="5">
        <v>5.5019999999999998</v>
      </c>
      <c r="K17" s="5">
        <v>0.17799999999999999</v>
      </c>
      <c r="L17" s="5">
        <v>4.1989999999999998</v>
      </c>
      <c r="M17" s="5">
        <v>0.33400000000000002</v>
      </c>
    </row>
    <row r="18" spans="1:13" x14ac:dyDescent="0.2">
      <c r="A18" s="5">
        <v>3</v>
      </c>
      <c r="B18" s="5">
        <v>7</v>
      </c>
      <c r="C18" s="5">
        <v>4.6050000000000004</v>
      </c>
      <c r="D18" s="5">
        <v>0.248</v>
      </c>
      <c r="E18" s="5">
        <v>3.5859999999999999</v>
      </c>
      <c r="F18" s="5">
        <v>0.38700000000000001</v>
      </c>
      <c r="H18" s="5">
        <v>3</v>
      </c>
      <c r="I18" s="5">
        <v>5</v>
      </c>
      <c r="J18" s="5">
        <v>5.1539999999999999</v>
      </c>
      <c r="K18" s="5">
        <v>0.20300000000000001</v>
      </c>
      <c r="L18" s="5">
        <v>3.9510000000000001</v>
      </c>
      <c r="M18" s="5">
        <v>0.35599999999999998</v>
      </c>
    </row>
    <row r="19" spans="1:13" x14ac:dyDescent="0.2">
      <c r="A19" s="5">
        <v>3</v>
      </c>
      <c r="B19" s="5">
        <v>8</v>
      </c>
      <c r="C19" s="5">
        <v>4.3550000000000004</v>
      </c>
      <c r="D19" s="5">
        <v>0.26900000000000002</v>
      </c>
      <c r="E19" s="5">
        <v>3.4369999999999998</v>
      </c>
      <c r="F19" s="5">
        <v>0.40100000000000002</v>
      </c>
      <c r="H19" s="5">
        <v>3</v>
      </c>
      <c r="I19" s="5">
        <v>6</v>
      </c>
      <c r="J19" s="5">
        <v>4.8650000000000002</v>
      </c>
      <c r="K19" s="5">
        <v>0.22600000000000001</v>
      </c>
      <c r="L19" s="5">
        <v>3.7559999999999998</v>
      </c>
      <c r="M19" s="5">
        <v>0.372</v>
      </c>
    </row>
    <row r="20" spans="1:13" x14ac:dyDescent="0.2">
      <c r="A20" s="5">
        <v>4</v>
      </c>
      <c r="B20" s="5">
        <v>1</v>
      </c>
      <c r="C20" s="5">
        <v>7.4290000000000003</v>
      </c>
      <c r="D20" s="5">
        <v>3.9E-2</v>
      </c>
      <c r="E20" s="5">
        <v>6.492</v>
      </c>
      <c r="F20" s="5">
        <v>0.104</v>
      </c>
      <c r="H20" s="5">
        <v>3</v>
      </c>
      <c r="I20" s="5">
        <v>7</v>
      </c>
      <c r="J20" s="5">
        <v>4.6050000000000004</v>
      </c>
      <c r="K20" s="5">
        <v>0.248</v>
      </c>
      <c r="L20" s="5">
        <v>3.5859999999999999</v>
      </c>
      <c r="M20" s="5">
        <v>0.38700000000000001</v>
      </c>
    </row>
    <row r="21" spans="1:13" x14ac:dyDescent="0.2">
      <c r="A21" s="5">
        <v>4</v>
      </c>
      <c r="B21" s="5">
        <v>2</v>
      </c>
      <c r="C21" s="5">
        <v>6.577</v>
      </c>
      <c r="D21" s="5">
        <v>0.09</v>
      </c>
      <c r="E21" s="5">
        <v>5.0199999999999996</v>
      </c>
      <c r="F21" s="5">
        <v>0.255</v>
      </c>
      <c r="H21" s="5">
        <v>3</v>
      </c>
      <c r="I21" s="5">
        <v>8</v>
      </c>
      <c r="J21" s="5">
        <v>4.3550000000000004</v>
      </c>
      <c r="K21" s="5">
        <v>0.26900000000000002</v>
      </c>
      <c r="L21" s="5">
        <v>3.4369999999999998</v>
      </c>
      <c r="M21" s="5">
        <v>0.40100000000000002</v>
      </c>
    </row>
    <row r="22" spans="1:13" x14ac:dyDescent="0.2">
      <c r="A22" s="5">
        <v>4</v>
      </c>
      <c r="B22" s="5">
        <v>3</v>
      </c>
      <c r="C22" s="5">
        <v>5.968</v>
      </c>
      <c r="D22" s="5">
        <v>0.14099999999999999</v>
      </c>
      <c r="E22" s="5">
        <v>4.5090000000000003</v>
      </c>
      <c r="F22" s="5">
        <v>0.30499999999999999</v>
      </c>
      <c r="H22" t="s">
        <v>50</v>
      </c>
      <c r="J22" s="3">
        <f>AVERAGE(J14:J21)</f>
        <v>5.5568749999999998</v>
      </c>
      <c r="K22" s="3">
        <f t="shared" ref="K22:M22" si="3">AVERAGE(K14:K21)</f>
        <v>0.17425000000000002</v>
      </c>
      <c r="L22" s="3">
        <f t="shared" si="3"/>
        <v>4.3687499999999995</v>
      </c>
      <c r="M22" s="3">
        <f t="shared" si="3"/>
        <v>0.31425000000000003</v>
      </c>
    </row>
    <row r="23" spans="1:13" x14ac:dyDescent="0.2">
      <c r="A23" s="5">
        <v>4</v>
      </c>
      <c r="B23" s="5">
        <v>4</v>
      </c>
      <c r="C23" s="5">
        <v>5.5019999999999998</v>
      </c>
      <c r="D23" s="5">
        <v>0.17799999999999999</v>
      </c>
      <c r="E23" s="5">
        <v>4.1989999999999998</v>
      </c>
      <c r="F23" s="5">
        <v>0.33400000000000002</v>
      </c>
      <c r="H23" s="5">
        <v>4</v>
      </c>
      <c r="I23" s="5">
        <v>1</v>
      </c>
      <c r="J23" s="5">
        <v>7.4290000000000003</v>
      </c>
      <c r="K23" s="5">
        <v>3.9E-2</v>
      </c>
      <c r="L23" s="5">
        <v>6.492</v>
      </c>
      <c r="M23" s="5">
        <v>0.104</v>
      </c>
    </row>
    <row r="24" spans="1:13" x14ac:dyDescent="0.2">
      <c r="A24" s="5">
        <v>4</v>
      </c>
      <c r="B24" s="5">
        <v>5</v>
      </c>
      <c r="C24" s="5">
        <v>5.1539999999999999</v>
      </c>
      <c r="D24" s="5">
        <v>0.20300000000000001</v>
      </c>
      <c r="E24" s="5">
        <v>3.9510000000000001</v>
      </c>
      <c r="F24" s="5">
        <v>0.35599999999999998</v>
      </c>
      <c r="H24" s="5">
        <v>4</v>
      </c>
      <c r="I24" s="5">
        <v>2</v>
      </c>
      <c r="J24" s="5">
        <v>6.577</v>
      </c>
      <c r="K24" s="5">
        <v>0.09</v>
      </c>
      <c r="L24" s="5">
        <v>5.0199999999999996</v>
      </c>
      <c r="M24" s="5">
        <v>0.255</v>
      </c>
    </row>
    <row r="25" spans="1:13" x14ac:dyDescent="0.2">
      <c r="A25" s="5">
        <v>4</v>
      </c>
      <c r="B25" s="5">
        <v>6</v>
      </c>
      <c r="C25" s="5">
        <v>4.8650000000000002</v>
      </c>
      <c r="D25" s="5">
        <v>0.22600000000000001</v>
      </c>
      <c r="E25" s="5">
        <v>3.7559999999999998</v>
      </c>
      <c r="F25" s="5">
        <v>0.372</v>
      </c>
      <c r="H25" s="5">
        <v>4</v>
      </c>
      <c r="I25" s="5">
        <v>3</v>
      </c>
      <c r="J25" s="5">
        <v>5.968</v>
      </c>
      <c r="K25" s="5">
        <v>0.14099999999999999</v>
      </c>
      <c r="L25" s="5">
        <v>4.5090000000000003</v>
      </c>
      <c r="M25" s="5">
        <v>0.30499999999999999</v>
      </c>
    </row>
    <row r="26" spans="1:13" x14ac:dyDescent="0.2">
      <c r="A26" s="5">
        <v>4</v>
      </c>
      <c r="B26" s="5">
        <v>7</v>
      </c>
      <c r="C26" s="5">
        <v>4.6050000000000004</v>
      </c>
      <c r="D26" s="5">
        <v>0.248</v>
      </c>
      <c r="E26" s="5">
        <v>3.5859999999999999</v>
      </c>
      <c r="F26" s="5">
        <v>0.38700000000000001</v>
      </c>
      <c r="H26" s="5">
        <v>4</v>
      </c>
      <c r="I26" s="5">
        <v>4</v>
      </c>
      <c r="J26" s="5">
        <v>5.5019999999999998</v>
      </c>
      <c r="K26" s="5">
        <v>0.17799999999999999</v>
      </c>
      <c r="L26" s="5">
        <v>4.1989999999999998</v>
      </c>
      <c r="M26" s="5">
        <v>0.33400000000000002</v>
      </c>
    </row>
    <row r="27" spans="1:13" x14ac:dyDescent="0.2">
      <c r="A27" s="5">
        <v>4</v>
      </c>
      <c r="B27" s="5">
        <v>8</v>
      </c>
      <c r="C27" s="5">
        <v>4.3550000000000004</v>
      </c>
      <c r="D27" s="5">
        <v>0.26900000000000002</v>
      </c>
      <c r="E27" s="5">
        <v>3.4369999999999998</v>
      </c>
      <c r="F27" s="5">
        <v>0.40100000000000002</v>
      </c>
      <c r="H27" s="5">
        <v>4</v>
      </c>
      <c r="I27" s="5">
        <v>5</v>
      </c>
      <c r="J27" s="5">
        <v>5.1539999999999999</v>
      </c>
      <c r="K27" s="5">
        <v>0.20300000000000001</v>
      </c>
      <c r="L27" s="5">
        <v>3.9510000000000001</v>
      </c>
      <c r="M27" s="5">
        <v>0.35599999999999998</v>
      </c>
    </row>
    <row r="28" spans="1:13" x14ac:dyDescent="0.2">
      <c r="A28" s="5">
        <v>4</v>
      </c>
      <c r="B28" s="5">
        <v>9</v>
      </c>
      <c r="C28" s="5">
        <v>4.1130000000000004</v>
      </c>
      <c r="D28" s="5">
        <v>0.29199999999999998</v>
      </c>
      <c r="E28" s="5">
        <v>3.3039999999999998</v>
      </c>
      <c r="F28" s="5">
        <v>0.41399999999999998</v>
      </c>
      <c r="H28" s="5">
        <v>4</v>
      </c>
      <c r="I28" s="5">
        <v>6</v>
      </c>
      <c r="J28" s="5">
        <v>4.8650000000000002</v>
      </c>
      <c r="K28" s="5">
        <v>0.22600000000000001</v>
      </c>
      <c r="L28" s="5">
        <v>3.7559999999999998</v>
      </c>
      <c r="M28" s="5">
        <v>0.372</v>
      </c>
    </row>
    <row r="29" spans="1:13" x14ac:dyDescent="0.2">
      <c r="A29" s="5">
        <v>4</v>
      </c>
      <c r="B29" s="5">
        <v>10</v>
      </c>
      <c r="C29" s="5">
        <v>3.8719999999999999</v>
      </c>
      <c r="D29" s="5">
        <v>0.316</v>
      </c>
      <c r="E29" s="5">
        <v>3.1920000000000002</v>
      </c>
      <c r="F29" s="5">
        <v>0.42399999999999999</v>
      </c>
      <c r="H29" s="5">
        <v>4</v>
      </c>
      <c r="I29" s="5">
        <v>7</v>
      </c>
      <c r="J29" s="5">
        <v>4.6050000000000004</v>
      </c>
      <c r="K29" s="5">
        <v>0.248</v>
      </c>
      <c r="L29" s="5">
        <v>3.5859999999999999</v>
      </c>
      <c r="M29" s="5">
        <v>0.38700000000000001</v>
      </c>
    </row>
    <row r="30" spans="1:13" x14ac:dyDescent="0.2">
      <c r="A30" s="5">
        <v>5</v>
      </c>
      <c r="B30" s="5">
        <v>1</v>
      </c>
      <c r="C30" s="5">
        <v>7.3609999999999998</v>
      </c>
      <c r="D30" s="5">
        <v>4.2999999999999997E-2</v>
      </c>
      <c r="E30" s="5">
        <v>6.4790000000000001</v>
      </c>
      <c r="F30" s="5">
        <v>0.108</v>
      </c>
      <c r="H30" s="5">
        <v>4</v>
      </c>
      <c r="I30" s="5">
        <v>8</v>
      </c>
      <c r="J30" s="5">
        <v>4.3550000000000004</v>
      </c>
      <c r="K30" s="5">
        <v>0.26900000000000002</v>
      </c>
      <c r="L30" s="5">
        <v>3.4369999999999998</v>
      </c>
      <c r="M30" s="5">
        <v>0.40100000000000002</v>
      </c>
    </row>
    <row r="31" spans="1:13" x14ac:dyDescent="0.2">
      <c r="A31" s="5">
        <v>5</v>
      </c>
      <c r="B31" s="5">
        <v>2</v>
      </c>
      <c r="C31" s="5">
        <v>6.5650000000000004</v>
      </c>
      <c r="D31" s="5">
        <v>9.1999999999999998E-2</v>
      </c>
      <c r="E31" s="5">
        <v>5.0439999999999996</v>
      </c>
      <c r="F31" s="5">
        <v>0.25700000000000001</v>
      </c>
      <c r="H31" s="5">
        <v>4</v>
      </c>
      <c r="I31" s="5">
        <v>9</v>
      </c>
      <c r="J31" s="5">
        <v>4.1130000000000004</v>
      </c>
      <c r="K31" s="5">
        <v>0.29199999999999998</v>
      </c>
      <c r="L31" s="5">
        <v>3.3039999999999998</v>
      </c>
      <c r="M31" s="5">
        <v>0.41399999999999998</v>
      </c>
    </row>
    <row r="32" spans="1:13" x14ac:dyDescent="0.2">
      <c r="A32" s="5">
        <v>5</v>
      </c>
      <c r="B32" s="5">
        <v>3</v>
      </c>
      <c r="C32" s="5">
        <v>5.9530000000000003</v>
      </c>
      <c r="D32" s="5">
        <v>0.14000000000000001</v>
      </c>
      <c r="E32" s="5">
        <v>4.5199999999999996</v>
      </c>
      <c r="F32" s="5">
        <v>0.30599999999999999</v>
      </c>
      <c r="H32" s="5">
        <v>4</v>
      </c>
      <c r="I32" s="5">
        <v>10</v>
      </c>
      <c r="J32" s="5">
        <v>3.8719999999999999</v>
      </c>
      <c r="K32" s="5">
        <v>0.316</v>
      </c>
      <c r="L32" s="5">
        <v>3.1920000000000002</v>
      </c>
      <c r="M32" s="5">
        <v>0.42399999999999999</v>
      </c>
    </row>
    <row r="33" spans="1:13" x14ac:dyDescent="0.2">
      <c r="A33" s="5">
        <v>5</v>
      </c>
      <c r="B33" s="5">
        <v>4</v>
      </c>
      <c r="C33" s="5">
        <v>5.4729999999999999</v>
      </c>
      <c r="D33" s="5">
        <v>0.182</v>
      </c>
      <c r="E33" s="5">
        <v>4.2030000000000003</v>
      </c>
      <c r="F33" s="5">
        <v>0.33400000000000002</v>
      </c>
      <c r="H33" t="s">
        <v>50</v>
      </c>
      <c r="J33" s="3">
        <f>AVERAGE(J23:J32)</f>
        <v>5.2439999999999998</v>
      </c>
      <c r="K33" s="3">
        <f t="shared" ref="K33:M33" si="4">AVERAGE(K23:K32)</f>
        <v>0.20020000000000002</v>
      </c>
      <c r="L33" s="3">
        <f t="shared" si="4"/>
        <v>4.1445999999999996</v>
      </c>
      <c r="M33" s="3">
        <f t="shared" si="4"/>
        <v>0.33520000000000005</v>
      </c>
    </row>
    <row r="34" spans="1:13" x14ac:dyDescent="0.2">
      <c r="A34" s="5">
        <v>5</v>
      </c>
      <c r="B34" s="5">
        <v>5</v>
      </c>
      <c r="C34" s="5">
        <v>5.1349999999999998</v>
      </c>
      <c r="D34" s="5">
        <v>0.20499999999999999</v>
      </c>
      <c r="E34" s="5">
        <v>3.9590000000000001</v>
      </c>
      <c r="F34" s="5">
        <v>0.35499999999999998</v>
      </c>
      <c r="H34" s="5">
        <v>5</v>
      </c>
      <c r="I34" s="5">
        <v>1</v>
      </c>
      <c r="J34" s="5">
        <v>7.3609999999999998</v>
      </c>
      <c r="K34" s="5">
        <v>4.2999999999999997E-2</v>
      </c>
      <c r="L34" s="5">
        <v>6.4790000000000001</v>
      </c>
      <c r="M34" s="5">
        <v>0.108</v>
      </c>
    </row>
    <row r="35" spans="1:13" x14ac:dyDescent="0.2">
      <c r="A35" s="5">
        <v>5</v>
      </c>
      <c r="B35" s="5">
        <v>6</v>
      </c>
      <c r="C35" s="5">
        <v>4.8639999999999999</v>
      </c>
      <c r="D35" s="5">
        <v>0.22500000000000001</v>
      </c>
      <c r="E35" s="5">
        <v>3.7490000000000001</v>
      </c>
      <c r="F35" s="5">
        <v>0.374</v>
      </c>
      <c r="H35" s="5">
        <v>5</v>
      </c>
      <c r="I35" s="5">
        <v>2</v>
      </c>
      <c r="J35" s="5">
        <v>6.5650000000000004</v>
      </c>
      <c r="K35" s="5">
        <v>9.1999999999999998E-2</v>
      </c>
      <c r="L35" s="5">
        <v>5.0439999999999996</v>
      </c>
      <c r="M35" s="5">
        <v>0.25700000000000001</v>
      </c>
    </row>
    <row r="36" spans="1:13" x14ac:dyDescent="0.2">
      <c r="A36" s="5">
        <v>5</v>
      </c>
      <c r="B36" s="5">
        <v>7</v>
      </c>
      <c r="C36" s="5">
        <v>4.62</v>
      </c>
      <c r="D36" s="5">
        <v>0.245</v>
      </c>
      <c r="E36" s="5">
        <v>3.5710000000000002</v>
      </c>
      <c r="F36" s="5">
        <v>0.39100000000000001</v>
      </c>
      <c r="H36" s="5">
        <v>5</v>
      </c>
      <c r="I36" s="5">
        <v>3</v>
      </c>
      <c r="J36" s="5">
        <v>5.9530000000000003</v>
      </c>
      <c r="K36" s="5">
        <v>0.14000000000000001</v>
      </c>
      <c r="L36" s="5">
        <v>4.5199999999999996</v>
      </c>
      <c r="M36" s="5">
        <v>0.30599999999999999</v>
      </c>
    </row>
    <row r="37" spans="1:13" x14ac:dyDescent="0.2">
      <c r="A37" s="5">
        <v>5</v>
      </c>
      <c r="B37" s="5">
        <v>8</v>
      </c>
      <c r="C37" s="5">
        <v>4.3970000000000002</v>
      </c>
      <c r="D37" s="5">
        <v>0.26200000000000001</v>
      </c>
      <c r="E37" s="5">
        <v>3.4209999999999998</v>
      </c>
      <c r="F37" s="5">
        <v>0.40300000000000002</v>
      </c>
      <c r="H37" s="5">
        <v>5</v>
      </c>
      <c r="I37" s="5">
        <v>4</v>
      </c>
      <c r="J37" s="5">
        <v>5.4729999999999999</v>
      </c>
      <c r="K37" s="5">
        <v>0.182</v>
      </c>
      <c r="L37" s="5">
        <v>4.2030000000000003</v>
      </c>
      <c r="M37" s="5">
        <v>0.33400000000000002</v>
      </c>
    </row>
    <row r="38" spans="1:13" x14ac:dyDescent="0.2">
      <c r="A38" s="5">
        <v>5</v>
      </c>
      <c r="B38" s="5">
        <v>9</v>
      </c>
      <c r="C38" s="5">
        <v>4.1749999999999998</v>
      </c>
      <c r="D38" s="5">
        <v>0.28399999999999997</v>
      </c>
      <c r="E38" s="5">
        <v>3.2850000000000001</v>
      </c>
      <c r="F38" s="5">
        <v>0.41599999999999998</v>
      </c>
      <c r="H38" s="5">
        <v>5</v>
      </c>
      <c r="I38" s="5">
        <v>5</v>
      </c>
      <c r="J38" s="5">
        <v>5.1349999999999998</v>
      </c>
      <c r="K38" s="5">
        <v>0.20499999999999999</v>
      </c>
      <c r="L38" s="5">
        <v>3.9590000000000001</v>
      </c>
      <c r="M38" s="5">
        <v>0.35499999999999998</v>
      </c>
    </row>
    <row r="39" spans="1:13" x14ac:dyDescent="0.2">
      <c r="A39" s="5">
        <v>5</v>
      </c>
      <c r="B39" s="5">
        <v>10</v>
      </c>
      <c r="C39" s="5">
        <v>3.9569999999999999</v>
      </c>
      <c r="D39" s="5">
        <v>0.30399999999999999</v>
      </c>
      <c r="E39" s="5">
        <v>3.157</v>
      </c>
      <c r="F39" s="5">
        <v>0.42799999999999999</v>
      </c>
      <c r="H39" s="5">
        <v>5</v>
      </c>
      <c r="I39" s="5">
        <v>6</v>
      </c>
      <c r="J39" s="5">
        <v>4.8639999999999999</v>
      </c>
      <c r="K39" s="5">
        <v>0.22500000000000001</v>
      </c>
      <c r="L39" s="5">
        <v>3.7490000000000001</v>
      </c>
      <c r="M39" s="5">
        <v>0.374</v>
      </c>
    </row>
    <row r="40" spans="1:13" x14ac:dyDescent="0.2">
      <c r="A40" s="5">
        <v>5</v>
      </c>
      <c r="B40" s="5">
        <v>11</v>
      </c>
      <c r="C40" s="5">
        <v>3.754</v>
      </c>
      <c r="D40" s="5">
        <v>0.32400000000000001</v>
      </c>
      <c r="E40" s="5">
        <v>3.0409999999999999</v>
      </c>
      <c r="F40" s="5">
        <v>0.44</v>
      </c>
      <c r="H40" s="5">
        <v>5</v>
      </c>
      <c r="I40" s="5">
        <v>7</v>
      </c>
      <c r="J40" s="5">
        <v>4.62</v>
      </c>
      <c r="K40" s="5">
        <v>0.245</v>
      </c>
      <c r="L40" s="5">
        <v>3.5710000000000002</v>
      </c>
      <c r="M40" s="5">
        <v>0.39100000000000001</v>
      </c>
    </row>
    <row r="41" spans="1:13" x14ac:dyDescent="0.2">
      <c r="A41" s="5">
        <v>5</v>
      </c>
      <c r="B41" s="5">
        <v>12</v>
      </c>
      <c r="C41" s="5">
        <v>3.57</v>
      </c>
      <c r="D41" s="5">
        <v>0.34100000000000003</v>
      </c>
      <c r="E41" s="5">
        <v>2.9420000000000002</v>
      </c>
      <c r="F41" s="5">
        <v>0.45100000000000001</v>
      </c>
      <c r="H41" s="5">
        <v>5</v>
      </c>
      <c r="I41" s="5">
        <v>8</v>
      </c>
      <c r="J41" s="5">
        <v>4.3970000000000002</v>
      </c>
      <c r="K41" s="5">
        <v>0.26200000000000001</v>
      </c>
      <c r="L41" s="5">
        <v>3.4209999999999998</v>
      </c>
      <c r="M41" s="5">
        <v>0.40300000000000002</v>
      </c>
    </row>
    <row r="42" spans="1:13" x14ac:dyDescent="0.2">
      <c r="A42" s="5">
        <v>6</v>
      </c>
      <c r="B42" s="5">
        <v>1</v>
      </c>
      <c r="C42" s="5">
        <v>7.3609999999999998</v>
      </c>
      <c r="D42" s="5">
        <v>4.2999999999999997E-2</v>
      </c>
      <c r="E42" s="5">
        <v>6.4790000000000001</v>
      </c>
      <c r="F42" s="5">
        <v>0.108</v>
      </c>
      <c r="H42" s="5">
        <v>5</v>
      </c>
      <c r="I42" s="5">
        <v>9</v>
      </c>
      <c r="J42" s="5">
        <v>4.1749999999999998</v>
      </c>
      <c r="K42" s="5">
        <v>0.28399999999999997</v>
      </c>
      <c r="L42" s="5">
        <v>3.2850000000000001</v>
      </c>
      <c r="M42" s="5">
        <v>0.41599999999999998</v>
      </c>
    </row>
    <row r="43" spans="1:13" x14ac:dyDescent="0.2">
      <c r="A43" s="5">
        <v>6</v>
      </c>
      <c r="B43" s="5">
        <v>2</v>
      </c>
      <c r="C43" s="5">
        <v>6.5650000000000004</v>
      </c>
      <c r="D43" s="5">
        <v>9.1999999999999998E-2</v>
      </c>
      <c r="E43" s="5">
        <v>5.0439999999999996</v>
      </c>
      <c r="F43" s="5">
        <v>0.25700000000000001</v>
      </c>
      <c r="H43" s="5">
        <v>5</v>
      </c>
      <c r="I43" s="5">
        <v>10</v>
      </c>
      <c r="J43" s="5">
        <v>3.9569999999999999</v>
      </c>
      <c r="K43" s="5">
        <v>0.30399999999999999</v>
      </c>
      <c r="L43" s="5">
        <v>3.157</v>
      </c>
      <c r="M43" s="5">
        <v>0.42799999999999999</v>
      </c>
    </row>
    <row r="44" spans="1:13" x14ac:dyDescent="0.2">
      <c r="A44" s="5">
        <v>6</v>
      </c>
      <c r="B44" s="5">
        <v>3</v>
      </c>
      <c r="C44" s="5">
        <v>5.9530000000000003</v>
      </c>
      <c r="D44" s="5">
        <v>0.14000000000000001</v>
      </c>
      <c r="E44" s="5">
        <v>4.5199999999999996</v>
      </c>
      <c r="F44" s="5">
        <v>0.30599999999999999</v>
      </c>
      <c r="H44" s="5">
        <v>5</v>
      </c>
      <c r="I44" s="5">
        <v>11</v>
      </c>
      <c r="J44" s="5">
        <v>3.754</v>
      </c>
      <c r="K44" s="5">
        <v>0.32400000000000001</v>
      </c>
      <c r="L44" s="5">
        <v>3.0409999999999999</v>
      </c>
      <c r="M44" s="5">
        <v>0.44</v>
      </c>
    </row>
    <row r="45" spans="1:13" x14ac:dyDescent="0.2">
      <c r="A45" s="5">
        <v>6</v>
      </c>
      <c r="B45" s="5">
        <v>4</v>
      </c>
      <c r="C45" s="5">
        <v>5.4729999999999999</v>
      </c>
      <c r="D45" s="5">
        <v>0.182</v>
      </c>
      <c r="E45" s="5">
        <v>4.2030000000000003</v>
      </c>
      <c r="F45" s="5">
        <v>0.33400000000000002</v>
      </c>
      <c r="H45" s="5">
        <v>5</v>
      </c>
      <c r="I45" s="5">
        <v>12</v>
      </c>
      <c r="J45" s="5">
        <v>3.57</v>
      </c>
      <c r="K45" s="5">
        <v>0.34100000000000003</v>
      </c>
      <c r="L45" s="5">
        <v>2.9420000000000002</v>
      </c>
      <c r="M45" s="5">
        <v>0.45100000000000001</v>
      </c>
    </row>
    <row r="46" spans="1:13" x14ac:dyDescent="0.2">
      <c r="A46" s="5">
        <v>6</v>
      </c>
      <c r="B46" s="5">
        <v>5</v>
      </c>
      <c r="C46" s="5">
        <v>5.1349999999999998</v>
      </c>
      <c r="D46" s="5">
        <v>0.20499999999999999</v>
      </c>
      <c r="E46" s="5">
        <v>3.9590000000000001</v>
      </c>
      <c r="F46" s="5">
        <v>0.35499999999999998</v>
      </c>
      <c r="H46" t="s">
        <v>50</v>
      </c>
      <c r="J46" s="3">
        <f>AVERAGE(J34:J45)</f>
        <v>4.9853333333333323</v>
      </c>
      <c r="K46" s="3">
        <f t="shared" ref="K46:M46" si="5">AVERAGE(K34:K45)</f>
        <v>0.22058333333333335</v>
      </c>
      <c r="L46" s="3">
        <f t="shared" si="5"/>
        <v>3.9475833333333323</v>
      </c>
      <c r="M46" s="3">
        <f t="shared" si="5"/>
        <v>0.35525000000000001</v>
      </c>
    </row>
    <row r="47" spans="1:13" x14ac:dyDescent="0.2">
      <c r="A47" s="5">
        <v>6</v>
      </c>
      <c r="B47" s="5">
        <v>6</v>
      </c>
      <c r="C47" s="5">
        <v>4.8639999999999999</v>
      </c>
      <c r="D47" s="5">
        <v>0.22500000000000001</v>
      </c>
      <c r="E47" s="5">
        <v>3.7490000000000001</v>
      </c>
      <c r="F47" s="5">
        <v>0.374</v>
      </c>
      <c r="H47" s="5">
        <v>6</v>
      </c>
      <c r="I47" s="5">
        <v>1</v>
      </c>
      <c r="J47" s="5">
        <v>7.3609999999999998</v>
      </c>
      <c r="K47" s="5">
        <v>4.2999999999999997E-2</v>
      </c>
      <c r="L47" s="5">
        <v>6.4790000000000001</v>
      </c>
      <c r="M47" s="5">
        <v>0.108</v>
      </c>
    </row>
    <row r="48" spans="1:13" x14ac:dyDescent="0.2">
      <c r="A48" s="5">
        <v>6</v>
      </c>
      <c r="B48" s="5">
        <v>7</v>
      </c>
      <c r="C48" s="5">
        <v>4.62</v>
      </c>
      <c r="D48" s="5">
        <v>0.245</v>
      </c>
      <c r="E48" s="5">
        <v>3.5710000000000002</v>
      </c>
      <c r="F48" s="5">
        <v>0.39100000000000001</v>
      </c>
      <c r="H48" s="5">
        <v>6</v>
      </c>
      <c r="I48" s="5">
        <v>2</v>
      </c>
      <c r="J48" s="5">
        <v>6.5650000000000004</v>
      </c>
      <c r="K48" s="5">
        <v>9.1999999999999998E-2</v>
      </c>
      <c r="L48" s="5">
        <v>5.0439999999999996</v>
      </c>
      <c r="M48" s="5">
        <v>0.25700000000000001</v>
      </c>
    </row>
    <row r="49" spans="1:13" x14ac:dyDescent="0.2">
      <c r="A49" s="5">
        <v>6</v>
      </c>
      <c r="B49" s="5">
        <v>8</v>
      </c>
      <c r="C49" s="5">
        <v>4.3970000000000002</v>
      </c>
      <c r="D49" s="5">
        <v>0.26200000000000001</v>
      </c>
      <c r="E49" s="5">
        <v>3.4209999999999998</v>
      </c>
      <c r="F49" s="5">
        <v>0.40300000000000002</v>
      </c>
      <c r="H49" s="5">
        <v>6</v>
      </c>
      <c r="I49" s="5">
        <v>3</v>
      </c>
      <c r="J49" s="5">
        <v>5.9530000000000003</v>
      </c>
      <c r="K49" s="5">
        <v>0.14000000000000001</v>
      </c>
      <c r="L49" s="5">
        <v>4.5199999999999996</v>
      </c>
      <c r="M49" s="5">
        <v>0.30599999999999999</v>
      </c>
    </row>
    <row r="50" spans="1:13" x14ac:dyDescent="0.2">
      <c r="A50" s="5">
        <v>6</v>
      </c>
      <c r="B50" s="5">
        <v>9</v>
      </c>
      <c r="C50" s="5">
        <v>4.1749999999999998</v>
      </c>
      <c r="D50" s="5">
        <v>0.28399999999999997</v>
      </c>
      <c r="E50" s="5">
        <v>3.2850000000000001</v>
      </c>
      <c r="F50" s="5">
        <v>0.41599999999999998</v>
      </c>
      <c r="H50" s="5">
        <v>6</v>
      </c>
      <c r="I50" s="5">
        <v>4</v>
      </c>
      <c r="J50" s="5">
        <v>5.4729999999999999</v>
      </c>
      <c r="K50" s="5">
        <v>0.182</v>
      </c>
      <c r="L50" s="5">
        <v>4.2030000000000003</v>
      </c>
      <c r="M50" s="5">
        <v>0.33400000000000002</v>
      </c>
    </row>
    <row r="51" spans="1:13" x14ac:dyDescent="0.2">
      <c r="A51" s="5">
        <v>6</v>
      </c>
      <c r="B51" s="5">
        <v>10</v>
      </c>
      <c r="C51" s="5">
        <v>3.9569999999999999</v>
      </c>
      <c r="D51" s="5">
        <v>0.30399999999999999</v>
      </c>
      <c r="E51" s="5">
        <v>3.157</v>
      </c>
      <c r="F51" s="5">
        <v>0.42799999999999999</v>
      </c>
      <c r="H51" s="5">
        <v>6</v>
      </c>
      <c r="I51" s="5">
        <v>5</v>
      </c>
      <c r="J51" s="5">
        <v>5.1349999999999998</v>
      </c>
      <c r="K51" s="5">
        <v>0.20499999999999999</v>
      </c>
      <c r="L51" s="5">
        <v>3.9590000000000001</v>
      </c>
      <c r="M51" s="5">
        <v>0.35499999999999998</v>
      </c>
    </row>
    <row r="52" spans="1:13" x14ac:dyDescent="0.2">
      <c r="A52" s="5">
        <v>6</v>
      </c>
      <c r="B52" s="5">
        <v>11</v>
      </c>
      <c r="C52" s="5">
        <v>3.754</v>
      </c>
      <c r="D52" s="5">
        <v>0.32400000000000001</v>
      </c>
      <c r="E52" s="5">
        <v>3.0409999999999999</v>
      </c>
      <c r="F52" s="5">
        <v>0.44</v>
      </c>
      <c r="H52" s="5">
        <v>6</v>
      </c>
      <c r="I52" s="5">
        <v>6</v>
      </c>
      <c r="J52" s="5">
        <v>4.8639999999999999</v>
      </c>
      <c r="K52" s="5">
        <v>0.22500000000000001</v>
      </c>
      <c r="L52" s="5">
        <v>3.7490000000000001</v>
      </c>
      <c r="M52" s="5">
        <v>0.374</v>
      </c>
    </row>
    <row r="53" spans="1:13" x14ac:dyDescent="0.2">
      <c r="A53" s="5">
        <v>6</v>
      </c>
      <c r="B53" s="5">
        <v>12</v>
      </c>
      <c r="C53" s="5">
        <v>3.57</v>
      </c>
      <c r="D53" s="5">
        <v>0.34100000000000003</v>
      </c>
      <c r="E53" s="5">
        <v>2.9420000000000002</v>
      </c>
      <c r="F53" s="5">
        <v>0.45100000000000001</v>
      </c>
      <c r="H53" s="5">
        <v>6</v>
      </c>
      <c r="I53" s="5">
        <v>7</v>
      </c>
      <c r="J53" s="5">
        <v>4.62</v>
      </c>
      <c r="K53" s="5">
        <v>0.245</v>
      </c>
      <c r="L53" s="5">
        <v>3.5710000000000002</v>
      </c>
      <c r="M53" s="5">
        <v>0.39100000000000001</v>
      </c>
    </row>
    <row r="54" spans="1:13" x14ac:dyDescent="0.2">
      <c r="A54" s="5">
        <v>6</v>
      </c>
      <c r="B54" s="5">
        <v>13</v>
      </c>
      <c r="C54" s="5">
        <v>3.3580000000000001</v>
      </c>
      <c r="D54" s="5">
        <v>0.36499999999999999</v>
      </c>
      <c r="E54" s="5">
        <v>2.8439999999999999</v>
      </c>
      <c r="F54" s="5">
        <v>0.46200000000000002</v>
      </c>
      <c r="H54" s="5">
        <v>6</v>
      </c>
      <c r="I54" s="5">
        <v>8</v>
      </c>
      <c r="J54" s="5">
        <v>4.3970000000000002</v>
      </c>
      <c r="K54" s="5">
        <v>0.26200000000000001</v>
      </c>
      <c r="L54" s="5">
        <v>3.4209999999999998</v>
      </c>
      <c r="M54" s="5">
        <v>0.40300000000000002</v>
      </c>
    </row>
    <row r="55" spans="1:13" x14ac:dyDescent="0.2">
      <c r="A55" s="5">
        <v>6</v>
      </c>
      <c r="B55" s="5">
        <v>14</v>
      </c>
      <c r="C55" s="5">
        <v>3.1549999999999998</v>
      </c>
      <c r="D55" s="5">
        <v>0.38900000000000001</v>
      </c>
      <c r="E55" s="5">
        <v>2.7639999999999998</v>
      </c>
      <c r="F55" s="5">
        <v>0.47</v>
      </c>
      <c r="H55" s="5">
        <v>6</v>
      </c>
      <c r="I55" s="5">
        <v>9</v>
      </c>
      <c r="J55" s="5">
        <v>4.1749999999999998</v>
      </c>
      <c r="K55" s="5">
        <v>0.28399999999999997</v>
      </c>
      <c r="L55" s="5">
        <v>3.2850000000000001</v>
      </c>
      <c r="M55" s="5">
        <v>0.41599999999999998</v>
      </c>
    </row>
    <row r="56" spans="1:13" x14ac:dyDescent="0.2">
      <c r="H56" s="5">
        <v>6</v>
      </c>
      <c r="I56" s="5">
        <v>10</v>
      </c>
      <c r="J56" s="5">
        <v>3.9569999999999999</v>
      </c>
      <c r="K56" s="5">
        <v>0.30399999999999999</v>
      </c>
      <c r="L56" s="5">
        <v>3.157</v>
      </c>
      <c r="M56" s="5">
        <v>0.42799999999999999</v>
      </c>
    </row>
    <row r="57" spans="1:13" x14ac:dyDescent="0.2">
      <c r="H57" s="5">
        <v>6</v>
      </c>
      <c r="I57" s="5">
        <v>11</v>
      </c>
      <c r="J57" s="5">
        <v>3.754</v>
      </c>
      <c r="K57" s="5">
        <v>0.32400000000000001</v>
      </c>
      <c r="L57" s="5">
        <v>3.0409999999999999</v>
      </c>
      <c r="M57" s="5">
        <v>0.44</v>
      </c>
    </row>
    <row r="58" spans="1:13" x14ac:dyDescent="0.2">
      <c r="H58" s="5">
        <v>6</v>
      </c>
      <c r="I58" s="5">
        <v>12</v>
      </c>
      <c r="J58" s="5">
        <v>3.57</v>
      </c>
      <c r="K58" s="5">
        <v>0.34100000000000003</v>
      </c>
      <c r="L58" s="5">
        <v>2.9420000000000002</v>
      </c>
      <c r="M58" s="5">
        <v>0.45100000000000001</v>
      </c>
    </row>
    <row r="59" spans="1:13" x14ac:dyDescent="0.2">
      <c r="H59" s="5">
        <v>6</v>
      </c>
      <c r="I59" s="5">
        <v>13</v>
      </c>
      <c r="J59" s="5">
        <v>3.3580000000000001</v>
      </c>
      <c r="K59" s="5">
        <v>0.36499999999999999</v>
      </c>
      <c r="L59" s="5">
        <v>2.8439999999999999</v>
      </c>
      <c r="M59" s="5">
        <v>0.46200000000000002</v>
      </c>
    </row>
    <row r="60" spans="1:13" x14ac:dyDescent="0.2">
      <c r="H60" s="5">
        <v>6</v>
      </c>
      <c r="I60" s="5">
        <v>14</v>
      </c>
      <c r="J60" s="5">
        <v>3.1549999999999998</v>
      </c>
      <c r="K60" s="5">
        <v>0.38900000000000001</v>
      </c>
      <c r="L60" s="5">
        <v>2.7639999999999998</v>
      </c>
      <c r="M60" s="5">
        <v>0.47</v>
      </c>
    </row>
    <row r="61" spans="1:13" x14ac:dyDescent="0.2">
      <c r="H61" t="s">
        <v>50</v>
      </c>
      <c r="J61" s="3">
        <f>AVERAGE(J47:J60)</f>
        <v>4.7383571428571418</v>
      </c>
      <c r="K61" s="3">
        <f t="shared" ref="K61:M61" si="6">AVERAGE(K47:K60)</f>
        <v>0.24292857142857147</v>
      </c>
      <c r="L61" s="3">
        <f t="shared" si="6"/>
        <v>3.7842142857142851</v>
      </c>
      <c r="M61" s="3">
        <f t="shared" si="6"/>
        <v>0.37107142857142855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BC6C-8A2A-0A4A-B2B4-41A9C85AE138}">
  <dimension ref="A1:H8"/>
  <sheetViews>
    <sheetView workbookViewId="0">
      <selection sqref="A1:G8"/>
    </sheetView>
  </sheetViews>
  <sheetFormatPr baseColWidth="10" defaultRowHeight="16" x14ac:dyDescent="0.2"/>
  <cols>
    <col min="2" max="2" width="17.83203125" bestFit="1" customWidth="1"/>
    <col min="3" max="3" width="17.6640625" bestFit="1" customWidth="1"/>
    <col min="5" max="5" width="13" bestFit="1" customWidth="1"/>
    <col min="6" max="6" width="12.83203125" bestFit="1" customWidth="1"/>
    <col min="7" max="7" width="14" bestFit="1" customWidth="1"/>
    <col min="8" max="8" width="18.33203125" bestFit="1" customWidth="1"/>
  </cols>
  <sheetData>
    <row r="1" spans="1:8" x14ac:dyDescent="0.2">
      <c r="A1" s="4" t="s">
        <v>0</v>
      </c>
      <c r="B1" s="4" t="s">
        <v>39</v>
      </c>
      <c r="C1" s="4" t="s">
        <v>40</v>
      </c>
      <c r="D1" s="4" t="s">
        <v>2</v>
      </c>
      <c r="E1" s="4" t="s">
        <v>3</v>
      </c>
      <c r="F1" s="4" t="s">
        <v>4</v>
      </c>
      <c r="G1" s="1" t="s">
        <v>55</v>
      </c>
      <c r="H1" s="1"/>
    </row>
    <row r="2" spans="1:8" x14ac:dyDescent="0.2">
      <c r="A2" s="5">
        <v>1</v>
      </c>
      <c r="B2" s="5">
        <v>4.34</v>
      </c>
      <c r="C2" s="5">
        <v>4.3220000000000001</v>
      </c>
      <c r="D2" s="5">
        <v>-1.7999999999999999E-2</v>
      </c>
      <c r="E2" s="5">
        <v>0.33600000000000002</v>
      </c>
      <c r="F2" s="5">
        <v>0.33800000000000002</v>
      </c>
      <c r="G2">
        <f>F2-E2</f>
        <v>2.0000000000000018E-3</v>
      </c>
    </row>
    <row r="3" spans="1:8" x14ac:dyDescent="0.2">
      <c r="A3" s="5">
        <v>2</v>
      </c>
      <c r="B3" s="5">
        <v>4.1230000000000002</v>
      </c>
      <c r="C3" s="5">
        <v>4.093</v>
      </c>
      <c r="D3" s="5">
        <v>-0.03</v>
      </c>
      <c r="E3" s="5">
        <v>0.35499999999999998</v>
      </c>
      <c r="F3" s="5">
        <v>0.35799999999999998</v>
      </c>
      <c r="G3">
        <f t="shared" ref="G3:G8" si="0">F3-E3</f>
        <v>3.0000000000000027E-3</v>
      </c>
    </row>
    <row r="4" spans="1:8" x14ac:dyDescent="0.2">
      <c r="A4" s="5">
        <v>3</v>
      </c>
      <c r="B4" s="5">
        <v>4.0090000000000003</v>
      </c>
      <c r="C4" s="5">
        <v>3.948</v>
      </c>
      <c r="D4" s="5">
        <v>-6.0999999999999999E-2</v>
      </c>
      <c r="E4" s="5">
        <v>0.36299999999999999</v>
      </c>
      <c r="F4" s="5">
        <v>0.371</v>
      </c>
      <c r="G4">
        <f t="shared" si="0"/>
        <v>8.0000000000000071E-3</v>
      </c>
    </row>
    <row r="5" spans="1:8" x14ac:dyDescent="0.2">
      <c r="A5" s="5">
        <v>4</v>
      </c>
      <c r="B5" s="5">
        <v>3.956</v>
      </c>
      <c r="C5" s="5">
        <v>3.8969999999999998</v>
      </c>
      <c r="D5" s="5">
        <v>-5.8999999999999997E-2</v>
      </c>
      <c r="E5" s="5">
        <v>0.375</v>
      </c>
      <c r="F5" s="5">
        <v>0.38700000000000001</v>
      </c>
      <c r="G5">
        <f t="shared" si="0"/>
        <v>1.2000000000000011E-2</v>
      </c>
    </row>
    <row r="6" spans="1:8" x14ac:dyDescent="0.2">
      <c r="A6" s="5">
        <v>5</v>
      </c>
      <c r="B6" s="5">
        <v>3.8610000000000002</v>
      </c>
      <c r="C6" s="5">
        <v>3.8639999999999999</v>
      </c>
      <c r="D6" s="5">
        <v>3.0000000000000001E-3</v>
      </c>
      <c r="E6" s="5">
        <v>0.39800000000000002</v>
      </c>
      <c r="F6" s="5">
        <v>0.39700000000000002</v>
      </c>
      <c r="G6">
        <f t="shared" si="0"/>
        <v>-1.0000000000000009E-3</v>
      </c>
    </row>
    <row r="7" spans="1:8" x14ac:dyDescent="0.2">
      <c r="A7" s="5">
        <v>6</v>
      </c>
      <c r="B7" s="5">
        <v>3.8660000000000001</v>
      </c>
      <c r="C7" s="5">
        <v>3.8650000000000002</v>
      </c>
      <c r="D7" s="5">
        <v>-1E-3</v>
      </c>
      <c r="E7" s="5">
        <v>0.39800000000000002</v>
      </c>
      <c r="F7" s="5">
        <v>0.39900000000000002</v>
      </c>
      <c r="G7">
        <f t="shared" si="0"/>
        <v>1.0000000000000009E-3</v>
      </c>
    </row>
    <row r="8" spans="1:8" x14ac:dyDescent="0.2">
      <c r="A8" t="s">
        <v>51</v>
      </c>
      <c r="B8" s="3">
        <f>AVERAGE(B2:B7)</f>
        <v>4.0258333333333338</v>
      </c>
      <c r="C8" s="3">
        <f t="shared" ref="C8:F8" si="1">AVERAGE(C2:C7)</f>
        <v>3.9981666666666662</v>
      </c>
      <c r="D8" s="3">
        <f t="shared" si="1"/>
        <v>-2.7666666666666662E-2</v>
      </c>
      <c r="E8" s="3">
        <f t="shared" si="1"/>
        <v>0.37083333333333335</v>
      </c>
      <c r="F8" s="3">
        <f t="shared" si="1"/>
        <v>0.375</v>
      </c>
      <c r="G8" s="3">
        <f t="shared" si="0"/>
        <v>4.1666666666666519E-3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B749-76AE-E945-88AA-0A4BFCDB985A}">
  <dimension ref="A1:R14"/>
  <sheetViews>
    <sheetView tabSelected="1" workbookViewId="0">
      <selection activeCell="R14" sqref="R14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G1" s="1" t="s">
        <v>0</v>
      </c>
      <c r="H1" s="1" t="s">
        <v>62</v>
      </c>
      <c r="I1" s="1" t="s">
        <v>58</v>
      </c>
      <c r="J1" s="1" t="s">
        <v>63</v>
      </c>
      <c r="K1" s="1" t="s">
        <v>64</v>
      </c>
      <c r="M1" s="1" t="s">
        <v>0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</row>
    <row r="2" spans="1:18" x14ac:dyDescent="0.2">
      <c r="A2">
        <v>1</v>
      </c>
      <c r="B2">
        <v>4</v>
      </c>
      <c r="C2">
        <v>8</v>
      </c>
      <c r="D2">
        <v>1.528</v>
      </c>
      <c r="E2">
        <v>2.62</v>
      </c>
      <c r="G2">
        <v>1</v>
      </c>
      <c r="H2">
        <v>4</v>
      </c>
      <c r="I2">
        <v>8</v>
      </c>
      <c r="J2">
        <v>1.528</v>
      </c>
      <c r="K2">
        <v>2.62</v>
      </c>
      <c r="M2" s="10">
        <v>1</v>
      </c>
      <c r="N2" t="s">
        <v>70</v>
      </c>
      <c r="O2">
        <v>4</v>
      </c>
      <c r="P2">
        <v>8</v>
      </c>
      <c r="Q2">
        <f>P2*0.191</f>
        <v>1.528</v>
      </c>
      <c r="R2" s="3">
        <f>O2/Q2</f>
        <v>2.6178010471204187</v>
      </c>
    </row>
    <row r="3" spans="1:18" x14ac:dyDescent="0.2">
      <c r="A3">
        <v>2</v>
      </c>
      <c r="B3">
        <v>6</v>
      </c>
      <c r="C3">
        <v>3</v>
      </c>
      <c r="D3">
        <v>0.57299999999999995</v>
      </c>
      <c r="E3">
        <v>10.47</v>
      </c>
      <c r="G3">
        <v>2</v>
      </c>
      <c r="H3">
        <v>6</v>
      </c>
      <c r="I3">
        <v>3</v>
      </c>
      <c r="J3">
        <v>0.57299999999999995</v>
      </c>
      <c r="K3">
        <v>10.47</v>
      </c>
      <c r="M3" s="10"/>
      <c r="N3" t="s">
        <v>71</v>
      </c>
      <c r="O3">
        <v>4</v>
      </c>
      <c r="P3">
        <v>8</v>
      </c>
      <c r="Q3">
        <f t="shared" ref="Q3:Q13" si="0">P3*0.191</f>
        <v>1.528</v>
      </c>
      <c r="R3" s="3">
        <f t="shared" ref="R3:R13" si="1">O3/Q3</f>
        <v>2.6178010471204187</v>
      </c>
    </row>
    <row r="4" spans="1:18" x14ac:dyDescent="0.2">
      <c r="A4">
        <v>3</v>
      </c>
      <c r="B4">
        <v>8</v>
      </c>
      <c r="C4">
        <v>3</v>
      </c>
      <c r="D4">
        <v>0.57299999999999995</v>
      </c>
      <c r="E4">
        <v>13.97</v>
      </c>
      <c r="G4">
        <v>3</v>
      </c>
      <c r="H4">
        <v>8</v>
      </c>
      <c r="I4">
        <v>3</v>
      </c>
      <c r="J4">
        <v>0.57299999999999995</v>
      </c>
      <c r="K4">
        <v>13.97</v>
      </c>
      <c r="M4" s="10">
        <v>2</v>
      </c>
      <c r="N4" t="s">
        <v>70</v>
      </c>
      <c r="O4">
        <v>6</v>
      </c>
      <c r="P4">
        <v>3</v>
      </c>
      <c r="Q4">
        <f t="shared" si="0"/>
        <v>0.57299999999999995</v>
      </c>
      <c r="R4" s="3">
        <f t="shared" si="1"/>
        <v>10.471204188481677</v>
      </c>
    </row>
    <row r="5" spans="1:18" x14ac:dyDescent="0.2">
      <c r="A5">
        <v>4</v>
      </c>
      <c r="B5">
        <v>10</v>
      </c>
      <c r="C5">
        <v>3</v>
      </c>
      <c r="D5">
        <v>0.57299999999999995</v>
      </c>
      <c r="E5">
        <v>17.45</v>
      </c>
      <c r="G5">
        <v>4</v>
      </c>
      <c r="H5">
        <v>10</v>
      </c>
      <c r="I5">
        <v>3</v>
      </c>
      <c r="J5">
        <v>0.57299999999999995</v>
      </c>
      <c r="K5">
        <v>17.45</v>
      </c>
      <c r="M5" s="10"/>
      <c r="N5" t="s">
        <v>71</v>
      </c>
      <c r="O5">
        <v>6</v>
      </c>
      <c r="P5">
        <v>6</v>
      </c>
      <c r="Q5">
        <f t="shared" si="0"/>
        <v>1.1459999999999999</v>
      </c>
      <c r="R5" s="3">
        <f t="shared" si="1"/>
        <v>5.2356020942408383</v>
      </c>
    </row>
    <row r="6" spans="1:18" x14ac:dyDescent="0.2">
      <c r="A6">
        <v>5</v>
      </c>
      <c r="B6">
        <v>12</v>
      </c>
      <c r="C6">
        <v>3</v>
      </c>
      <c r="D6">
        <v>0.57299999999999995</v>
      </c>
      <c r="E6">
        <v>20.94</v>
      </c>
      <c r="G6">
        <v>5</v>
      </c>
      <c r="H6">
        <v>12</v>
      </c>
      <c r="I6">
        <v>3</v>
      </c>
      <c r="J6">
        <v>0.57299999999999995</v>
      </c>
      <c r="K6">
        <v>20.94</v>
      </c>
      <c r="M6" s="10">
        <v>3</v>
      </c>
      <c r="N6" t="s">
        <v>70</v>
      </c>
      <c r="O6">
        <v>8</v>
      </c>
      <c r="P6">
        <v>3</v>
      </c>
      <c r="Q6">
        <f t="shared" si="0"/>
        <v>0.57299999999999995</v>
      </c>
      <c r="R6" s="3">
        <f t="shared" si="1"/>
        <v>13.961605584642236</v>
      </c>
    </row>
    <row r="7" spans="1:18" x14ac:dyDescent="0.2">
      <c r="A7">
        <v>6</v>
      </c>
      <c r="B7">
        <v>14</v>
      </c>
      <c r="C7">
        <v>3</v>
      </c>
      <c r="D7">
        <v>0.57299999999999995</v>
      </c>
      <c r="E7">
        <v>24.43</v>
      </c>
      <c r="G7">
        <v>6</v>
      </c>
      <c r="H7">
        <v>14</v>
      </c>
      <c r="I7">
        <v>3</v>
      </c>
      <c r="J7">
        <v>0.57299999999999995</v>
      </c>
      <c r="K7">
        <v>24.43</v>
      </c>
      <c r="M7" s="10"/>
      <c r="N7" t="s">
        <v>71</v>
      </c>
      <c r="O7">
        <v>8</v>
      </c>
      <c r="P7">
        <v>3</v>
      </c>
      <c r="Q7">
        <f t="shared" si="0"/>
        <v>0.57299999999999995</v>
      </c>
      <c r="R7" s="3">
        <f t="shared" si="1"/>
        <v>13.961605584642236</v>
      </c>
    </row>
    <row r="8" spans="1:18" x14ac:dyDescent="0.2">
      <c r="A8" s="1" t="s">
        <v>61</v>
      </c>
      <c r="B8" s="1">
        <v>9</v>
      </c>
      <c r="C8" s="1">
        <v>3.83</v>
      </c>
      <c r="D8" s="1">
        <v>0.73099999999999998</v>
      </c>
      <c r="E8" s="1">
        <v>12.31</v>
      </c>
      <c r="G8" s="1" t="s">
        <v>61</v>
      </c>
      <c r="H8">
        <v>9</v>
      </c>
      <c r="I8">
        <v>3.83</v>
      </c>
      <c r="J8">
        <v>0.73099999999999998</v>
      </c>
      <c r="K8">
        <v>12.31</v>
      </c>
      <c r="M8" s="10">
        <v>4</v>
      </c>
      <c r="N8" t="s">
        <v>70</v>
      </c>
      <c r="O8">
        <v>10</v>
      </c>
      <c r="P8">
        <v>3</v>
      </c>
      <c r="Q8">
        <f t="shared" si="0"/>
        <v>0.57299999999999995</v>
      </c>
      <c r="R8" s="3">
        <f t="shared" si="1"/>
        <v>17.452006980802793</v>
      </c>
    </row>
    <row r="9" spans="1:18" x14ac:dyDescent="0.2">
      <c r="M9" s="10"/>
      <c r="N9" t="s">
        <v>71</v>
      </c>
      <c r="O9">
        <v>10</v>
      </c>
      <c r="P9">
        <v>3</v>
      </c>
      <c r="Q9">
        <f t="shared" si="0"/>
        <v>0.57299999999999995</v>
      </c>
      <c r="R9" s="3">
        <f t="shared" si="1"/>
        <v>17.452006980802793</v>
      </c>
    </row>
    <row r="10" spans="1:18" x14ac:dyDescent="0.2">
      <c r="M10" s="10">
        <v>5</v>
      </c>
      <c r="N10" t="s">
        <v>70</v>
      </c>
      <c r="O10">
        <v>12</v>
      </c>
      <c r="P10">
        <v>3</v>
      </c>
      <c r="Q10">
        <f t="shared" si="0"/>
        <v>0.57299999999999995</v>
      </c>
      <c r="R10" s="3">
        <f t="shared" si="1"/>
        <v>20.942408376963353</v>
      </c>
    </row>
    <row r="11" spans="1:18" x14ac:dyDescent="0.2">
      <c r="M11" s="10"/>
      <c r="N11" t="s">
        <v>71</v>
      </c>
      <c r="O11">
        <v>12</v>
      </c>
      <c r="P11">
        <v>3</v>
      </c>
      <c r="Q11">
        <f t="shared" si="0"/>
        <v>0.57299999999999995</v>
      </c>
      <c r="R11" s="3">
        <f t="shared" si="1"/>
        <v>20.942408376963353</v>
      </c>
    </row>
    <row r="12" spans="1:18" x14ac:dyDescent="0.2">
      <c r="M12" s="10">
        <v>6</v>
      </c>
      <c r="N12" t="s">
        <v>70</v>
      </c>
      <c r="O12">
        <v>14</v>
      </c>
      <c r="P12">
        <v>3</v>
      </c>
      <c r="Q12">
        <f t="shared" si="0"/>
        <v>0.57299999999999995</v>
      </c>
      <c r="R12" s="3">
        <f t="shared" si="1"/>
        <v>24.43280977312391</v>
      </c>
    </row>
    <row r="13" spans="1:18" x14ac:dyDescent="0.2">
      <c r="M13" s="10"/>
      <c r="N13" t="s">
        <v>71</v>
      </c>
      <c r="O13">
        <v>14</v>
      </c>
      <c r="P13">
        <v>3</v>
      </c>
      <c r="Q13">
        <f t="shared" si="0"/>
        <v>0.57299999999999995</v>
      </c>
      <c r="R13" s="3">
        <f t="shared" si="1"/>
        <v>24.43280977312391</v>
      </c>
    </row>
    <row r="14" spans="1:18" x14ac:dyDescent="0.2">
      <c r="M14" t="s">
        <v>51</v>
      </c>
      <c r="O14" s="3">
        <f>AVERAGE(O2:O13)</f>
        <v>9</v>
      </c>
      <c r="P14" s="3">
        <f t="shared" ref="P14" si="2">AVERAGE(P2:P13)</f>
        <v>4.083333333333333</v>
      </c>
      <c r="Q14" s="3">
        <f>AVERAGE(Q2:Q13)</f>
        <v>0.77991666666666692</v>
      </c>
      <c r="R14" s="3">
        <f>O14/Q14</f>
        <v>11.539694411796129</v>
      </c>
    </row>
  </sheetData>
  <mergeCells count="6">
    <mergeCell ref="M2:M3"/>
    <mergeCell ref="M4:M5"/>
    <mergeCell ref="M6:M7"/>
    <mergeCell ref="M8:M9"/>
    <mergeCell ref="M10:M11"/>
    <mergeCell ref="M12:M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B18A-752A-A74E-9DA4-F5E5714923C5}">
  <dimension ref="A1:E8"/>
  <sheetViews>
    <sheetView workbookViewId="0">
      <selection activeCell="I30" sqref="I30"/>
    </sheetView>
  </sheetViews>
  <sheetFormatPr baseColWidth="10" defaultRowHeight="16" x14ac:dyDescent="0.2"/>
  <cols>
    <col min="3" max="3" width="10.33203125" style="2" bestFit="1" customWidth="1"/>
    <col min="5" max="5" width="14.6640625" bestFit="1" customWidth="1"/>
  </cols>
  <sheetData>
    <row r="1" spans="1:5" x14ac:dyDescent="0.2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</row>
    <row r="2" spans="1:5" x14ac:dyDescent="0.2">
      <c r="A2" s="5">
        <v>1</v>
      </c>
      <c r="B2" s="5">
        <v>4</v>
      </c>
      <c r="C2" s="5">
        <v>30.25</v>
      </c>
      <c r="D2" s="5">
        <v>1</v>
      </c>
      <c r="E2" s="5">
        <v>2</v>
      </c>
    </row>
    <row r="3" spans="1:5" x14ac:dyDescent="0.2">
      <c r="A3" s="5">
        <v>2</v>
      </c>
      <c r="B3" s="5">
        <v>4</v>
      </c>
      <c r="C3" s="5">
        <v>33.25</v>
      </c>
      <c r="D3" s="5">
        <v>1</v>
      </c>
      <c r="E3" s="5">
        <v>3</v>
      </c>
    </row>
    <row r="4" spans="1:5" x14ac:dyDescent="0.2">
      <c r="A4" s="5">
        <v>3</v>
      </c>
      <c r="B4" s="5">
        <v>4</v>
      </c>
      <c r="C4" s="5">
        <v>62.5</v>
      </c>
      <c r="D4" s="5">
        <v>1</v>
      </c>
      <c r="E4" s="5">
        <v>1</v>
      </c>
    </row>
    <row r="5" spans="1:5" x14ac:dyDescent="0.2">
      <c r="A5" s="5">
        <v>4</v>
      </c>
      <c r="B5" s="5">
        <v>4</v>
      </c>
      <c r="C5" s="5">
        <v>55.75</v>
      </c>
      <c r="D5" s="5">
        <v>1</v>
      </c>
      <c r="E5" s="5">
        <v>2</v>
      </c>
    </row>
    <row r="6" spans="1:5" x14ac:dyDescent="0.2">
      <c r="A6" s="5">
        <v>5</v>
      </c>
      <c r="B6" s="5">
        <v>4</v>
      </c>
      <c r="C6" s="5">
        <v>71.25</v>
      </c>
      <c r="D6" s="5">
        <v>1</v>
      </c>
      <c r="E6" s="5">
        <v>0</v>
      </c>
    </row>
    <row r="7" spans="1:5" x14ac:dyDescent="0.2">
      <c r="A7" s="5">
        <v>6</v>
      </c>
      <c r="B7" s="5">
        <v>4</v>
      </c>
      <c r="C7" s="5">
        <v>89.5</v>
      </c>
      <c r="D7" s="5">
        <v>1</v>
      </c>
      <c r="E7" s="5">
        <v>1</v>
      </c>
    </row>
    <row r="8" spans="1:5" x14ac:dyDescent="0.2">
      <c r="A8" t="s">
        <v>51</v>
      </c>
      <c r="B8">
        <f>AVERAGE(B2:B7)</f>
        <v>4</v>
      </c>
      <c r="C8" s="3">
        <f t="shared" ref="C8:E8" si="0">AVERAGE(C2:C7)</f>
        <v>57.083333333333336</v>
      </c>
      <c r="D8">
        <f t="shared" si="0"/>
        <v>1</v>
      </c>
      <c r="E8">
        <f t="shared" si="0"/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491-6CE4-EE44-87AC-8B6DD4E1BAF0}">
  <dimension ref="A1:AA35"/>
  <sheetViews>
    <sheetView topLeftCell="H1" workbookViewId="0">
      <selection activeCell="N1" sqref="N1:AA8"/>
    </sheetView>
  </sheetViews>
  <sheetFormatPr baseColWidth="10" defaultRowHeight="16" x14ac:dyDescent="0.2"/>
  <cols>
    <col min="2" max="5" width="10.83203125" style="3"/>
    <col min="8" max="8" width="15.6640625" bestFit="1" customWidth="1"/>
    <col min="9" max="9" width="10.1640625" bestFit="1" customWidth="1"/>
    <col min="10" max="11" width="14.33203125" bestFit="1" customWidth="1"/>
    <col min="12" max="12" width="15.33203125" bestFit="1" customWidth="1"/>
    <col min="25" max="25" width="15.33203125" bestFit="1" customWidth="1"/>
  </cols>
  <sheetData>
    <row r="1" spans="1:27" x14ac:dyDescent="0.2">
      <c r="A1" s="4" t="s">
        <v>0</v>
      </c>
      <c r="B1" s="4" t="s">
        <v>1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N1" s="9" t="s">
        <v>0</v>
      </c>
      <c r="O1" s="9" t="s">
        <v>1</v>
      </c>
      <c r="P1" s="9" t="s">
        <v>41</v>
      </c>
      <c r="Q1" s="9" t="s">
        <v>42</v>
      </c>
      <c r="R1" s="9" t="s">
        <v>43</v>
      </c>
      <c r="S1" s="9" t="s">
        <v>44</v>
      </c>
      <c r="T1" s="9" t="s">
        <v>9</v>
      </c>
      <c r="U1" s="9" t="s">
        <v>10</v>
      </c>
      <c r="V1" s="9" t="s">
        <v>11</v>
      </c>
      <c r="W1" s="9" t="s">
        <v>12</v>
      </c>
      <c r="X1" s="9" t="s">
        <v>2</v>
      </c>
      <c r="Y1" s="9" t="s">
        <v>54</v>
      </c>
      <c r="Z1" s="9" t="s">
        <v>55</v>
      </c>
      <c r="AA1" s="9" t="s">
        <v>56</v>
      </c>
    </row>
    <row r="2" spans="1:27" x14ac:dyDescent="0.2">
      <c r="A2" s="5">
        <v>1</v>
      </c>
      <c r="B2" s="5">
        <v>1</v>
      </c>
      <c r="C2" s="5">
        <v>5.2370000000000001</v>
      </c>
      <c r="D2" s="5">
        <v>0.20200000000000001</v>
      </c>
      <c r="E2" s="5">
        <v>5.2320000000000002</v>
      </c>
      <c r="F2" s="5">
        <v>0.19400000000000001</v>
      </c>
      <c r="G2" s="5">
        <v>5.6859999999999999</v>
      </c>
      <c r="H2" s="5">
        <v>0.17899999999999999</v>
      </c>
      <c r="I2" s="5">
        <v>5.53</v>
      </c>
      <c r="J2" s="5">
        <v>0.19800000000000001</v>
      </c>
      <c r="K2" s="5" t="s">
        <v>45</v>
      </c>
      <c r="L2" s="5" t="s">
        <v>46</v>
      </c>
      <c r="N2">
        <v>1</v>
      </c>
      <c r="O2">
        <v>8</v>
      </c>
      <c r="P2">
        <v>4.9489999999999998</v>
      </c>
      <c r="Q2">
        <v>0.21199999999999999</v>
      </c>
      <c r="R2">
        <v>5.2110000000000003</v>
      </c>
      <c r="S2">
        <v>0.20399999999999999</v>
      </c>
      <c r="T2">
        <v>5.6859999999999999</v>
      </c>
      <c r="U2">
        <v>0.17899999999999999</v>
      </c>
      <c r="V2">
        <v>5.53</v>
      </c>
      <c r="W2">
        <v>0.19800000000000001</v>
      </c>
      <c r="X2">
        <v>-0.156</v>
      </c>
      <c r="Y2">
        <v>-2.75</v>
      </c>
      <c r="Z2">
        <v>0.02</v>
      </c>
      <c r="AA2">
        <v>10.98</v>
      </c>
    </row>
    <row r="3" spans="1:27" x14ac:dyDescent="0.2">
      <c r="A3" s="5">
        <v>1</v>
      </c>
      <c r="B3" s="5">
        <v>2</v>
      </c>
      <c r="C3" s="5">
        <v>5.0990000000000002</v>
      </c>
      <c r="D3" s="5">
        <v>0.20599999999999999</v>
      </c>
      <c r="E3" s="5">
        <v>5.2220000000000004</v>
      </c>
      <c r="F3" s="5">
        <v>0.19800000000000001</v>
      </c>
      <c r="G3" s="5"/>
      <c r="H3" s="5"/>
      <c r="I3" s="5"/>
      <c r="J3" s="5"/>
      <c r="K3" s="5"/>
      <c r="L3" s="5"/>
      <c r="N3">
        <v>2</v>
      </c>
      <c r="O3">
        <v>3</v>
      </c>
      <c r="P3">
        <v>4.6139999999999999</v>
      </c>
      <c r="Q3">
        <v>0.247</v>
      </c>
      <c r="R3">
        <v>4.5730000000000004</v>
      </c>
      <c r="S3">
        <v>0.26300000000000001</v>
      </c>
      <c r="T3">
        <v>5.5229999999999997</v>
      </c>
      <c r="U3">
        <v>0.20499999999999999</v>
      </c>
      <c r="V3">
        <v>5.4539999999999997</v>
      </c>
      <c r="W3">
        <v>0.222</v>
      </c>
      <c r="X3">
        <v>-7.0000000000000007E-2</v>
      </c>
      <c r="Y3">
        <v>-1.26</v>
      </c>
      <c r="Z3">
        <v>1.6E-2</v>
      </c>
      <c r="AA3">
        <v>8.0299999999999994</v>
      </c>
    </row>
    <row r="4" spans="1:27" x14ac:dyDescent="0.2">
      <c r="A4" s="5">
        <v>1</v>
      </c>
      <c r="B4" s="5">
        <v>3</v>
      </c>
      <c r="C4" s="5">
        <v>5.0170000000000003</v>
      </c>
      <c r="D4" s="5">
        <v>0.21</v>
      </c>
      <c r="E4" s="5">
        <v>5.2140000000000004</v>
      </c>
      <c r="F4" s="5">
        <v>0.2</v>
      </c>
      <c r="G4" s="5"/>
      <c r="H4" s="5"/>
      <c r="I4" s="5"/>
      <c r="J4" s="5"/>
      <c r="K4" s="5"/>
      <c r="L4" s="5"/>
      <c r="N4">
        <v>3</v>
      </c>
      <c r="O4">
        <v>3</v>
      </c>
      <c r="P4">
        <v>4.2859999999999996</v>
      </c>
      <c r="Q4">
        <v>0.27700000000000002</v>
      </c>
      <c r="R4">
        <v>4.1749999999999998</v>
      </c>
      <c r="S4">
        <v>0.30599999999999999</v>
      </c>
      <c r="T4">
        <v>5.4450000000000003</v>
      </c>
      <c r="U4">
        <v>0.223</v>
      </c>
      <c r="V4">
        <v>5.4580000000000002</v>
      </c>
      <c r="W4">
        <v>0.23300000000000001</v>
      </c>
      <c r="X4">
        <v>1.2999999999999999E-2</v>
      </c>
      <c r="Y4">
        <v>0.24</v>
      </c>
      <c r="Z4">
        <v>0.01</v>
      </c>
      <c r="AA4">
        <v>4.62</v>
      </c>
    </row>
    <row r="5" spans="1:27" x14ac:dyDescent="0.2">
      <c r="A5" s="5">
        <v>1</v>
      </c>
      <c r="B5" s="5">
        <v>4</v>
      </c>
      <c r="C5" s="5">
        <v>4.9509999999999996</v>
      </c>
      <c r="D5" s="5">
        <v>0.21199999999999999</v>
      </c>
      <c r="E5" s="5">
        <v>5.2080000000000002</v>
      </c>
      <c r="F5" s="5">
        <v>0.20300000000000001</v>
      </c>
      <c r="G5" s="5"/>
      <c r="H5" s="5"/>
      <c r="I5" s="5"/>
      <c r="J5" s="5"/>
      <c r="K5" s="5"/>
      <c r="L5" s="5"/>
      <c r="N5">
        <v>4</v>
      </c>
      <c r="O5">
        <v>3</v>
      </c>
      <c r="P5">
        <v>3.7949999999999999</v>
      </c>
      <c r="Q5">
        <v>0.32200000000000001</v>
      </c>
      <c r="R5">
        <v>3.5670000000000002</v>
      </c>
      <c r="S5">
        <v>0.372</v>
      </c>
      <c r="T5">
        <v>5.63</v>
      </c>
      <c r="U5">
        <v>0.22700000000000001</v>
      </c>
      <c r="V5">
        <v>5.5650000000000004</v>
      </c>
      <c r="W5">
        <v>0.24099999999999999</v>
      </c>
      <c r="X5">
        <v>-6.6000000000000003E-2</v>
      </c>
      <c r="Y5">
        <v>-1.1599999999999999</v>
      </c>
      <c r="Z5">
        <v>1.4E-2</v>
      </c>
      <c r="AA5">
        <v>6.27</v>
      </c>
    </row>
    <row r="6" spans="1:27" x14ac:dyDescent="0.2">
      <c r="A6" s="5">
        <v>1</v>
      </c>
      <c r="B6" s="5">
        <v>5</v>
      </c>
      <c r="C6" s="5">
        <v>4.8940000000000001</v>
      </c>
      <c r="D6" s="5">
        <v>0.214</v>
      </c>
      <c r="E6" s="5">
        <v>5.2050000000000001</v>
      </c>
      <c r="F6" s="5">
        <v>0.20499999999999999</v>
      </c>
      <c r="G6" s="5"/>
      <c r="H6" s="5"/>
      <c r="I6" s="5"/>
      <c r="J6" s="5"/>
      <c r="K6" s="5"/>
      <c r="L6" s="5"/>
      <c r="N6">
        <v>5</v>
      </c>
      <c r="O6">
        <v>3</v>
      </c>
      <c r="P6">
        <v>4.1769999999999996</v>
      </c>
      <c r="Q6">
        <v>0.28699999999999998</v>
      </c>
      <c r="R6">
        <v>4.0419999999999998</v>
      </c>
      <c r="S6">
        <v>0.32</v>
      </c>
      <c r="T6">
        <v>5.5789999999999997</v>
      </c>
      <c r="U6">
        <v>0.23200000000000001</v>
      </c>
      <c r="V6">
        <v>5.4829999999999997</v>
      </c>
      <c r="W6">
        <v>0.24399999999999999</v>
      </c>
      <c r="X6">
        <v>-9.6000000000000002E-2</v>
      </c>
      <c r="Y6">
        <v>-1.72</v>
      </c>
      <c r="Z6">
        <v>1.2E-2</v>
      </c>
      <c r="AA6">
        <v>5.15</v>
      </c>
    </row>
    <row r="7" spans="1:27" x14ac:dyDescent="0.2">
      <c r="A7" s="5">
        <v>1</v>
      </c>
      <c r="B7" s="5">
        <v>6</v>
      </c>
      <c r="C7" s="5">
        <v>4.843</v>
      </c>
      <c r="D7" s="5">
        <v>0.217</v>
      </c>
      <c r="E7" s="5">
        <v>5.2030000000000003</v>
      </c>
      <c r="F7" s="5">
        <v>0.20799999999999999</v>
      </c>
      <c r="G7" s="5"/>
      <c r="H7" s="5"/>
      <c r="I7" s="5"/>
      <c r="J7" s="5"/>
      <c r="K7" s="5"/>
      <c r="L7" s="5"/>
      <c r="N7">
        <v>6</v>
      </c>
      <c r="O7">
        <v>3</v>
      </c>
      <c r="P7">
        <v>3.302</v>
      </c>
      <c r="Q7">
        <v>0.36499999999999999</v>
      </c>
      <c r="R7">
        <v>3.0070000000000001</v>
      </c>
      <c r="S7">
        <v>0.443</v>
      </c>
      <c r="T7">
        <v>5.7930000000000001</v>
      </c>
      <c r="U7">
        <v>0.23200000000000001</v>
      </c>
      <c r="V7">
        <v>5.6749999999999998</v>
      </c>
      <c r="W7">
        <v>0.246</v>
      </c>
      <c r="X7">
        <v>-0.11799999999999999</v>
      </c>
      <c r="Y7">
        <v>-2.0299999999999998</v>
      </c>
      <c r="Z7">
        <v>1.4999999999999999E-2</v>
      </c>
      <c r="AA7">
        <v>6.42</v>
      </c>
    </row>
    <row r="8" spans="1:27" x14ac:dyDescent="0.2">
      <c r="A8" s="5">
        <v>1</v>
      </c>
      <c r="B8" s="5">
        <v>7</v>
      </c>
      <c r="C8" s="5">
        <v>4.7960000000000003</v>
      </c>
      <c r="D8" s="5">
        <v>0.218</v>
      </c>
      <c r="E8" s="5">
        <v>5.202</v>
      </c>
      <c r="F8" s="5">
        <v>0.21</v>
      </c>
      <c r="G8" s="5"/>
      <c r="H8" s="5"/>
      <c r="I8" s="5"/>
      <c r="J8" s="5"/>
      <c r="K8" s="5"/>
      <c r="L8" s="5"/>
      <c r="N8" t="s">
        <v>53</v>
      </c>
      <c r="O8" s="2">
        <f>AVERAGE(O2:O7)</f>
        <v>3.8333333333333335</v>
      </c>
      <c r="P8" s="3">
        <f t="shared" ref="P8:AA8" si="0">AVERAGE(P2:P7)</f>
        <v>4.1871666666666663</v>
      </c>
      <c r="Q8" s="3">
        <f t="shared" si="0"/>
        <v>0.28499999999999998</v>
      </c>
      <c r="R8" s="3">
        <f t="shared" si="0"/>
        <v>4.0958333333333332</v>
      </c>
      <c r="S8" s="3">
        <f t="shared" si="0"/>
        <v>0.318</v>
      </c>
      <c r="T8" s="3">
        <f t="shared" si="0"/>
        <v>5.6093333333333328</v>
      </c>
      <c r="U8" s="3">
        <f t="shared" si="0"/>
        <v>0.21633333333333335</v>
      </c>
      <c r="V8" s="3">
        <f t="shared" si="0"/>
        <v>5.5274999999999999</v>
      </c>
      <c r="W8" s="3">
        <f t="shared" si="0"/>
        <v>0.23066666666666666</v>
      </c>
      <c r="X8" s="3">
        <f t="shared" si="0"/>
        <v>-8.2166666666666666E-2</v>
      </c>
      <c r="Y8" s="2">
        <f t="shared" si="0"/>
        <v>-1.4466666666666665</v>
      </c>
      <c r="Z8" s="3">
        <f t="shared" si="0"/>
        <v>1.4500000000000001E-2</v>
      </c>
      <c r="AA8" s="2">
        <f t="shared" si="0"/>
        <v>6.9116666666666662</v>
      </c>
    </row>
    <row r="9" spans="1:27" x14ac:dyDescent="0.2">
      <c r="A9" s="5">
        <v>1</v>
      </c>
      <c r="B9" s="5">
        <v>8</v>
      </c>
      <c r="C9" s="5">
        <v>4.7519999999999998</v>
      </c>
      <c r="D9" s="5">
        <v>0.22</v>
      </c>
      <c r="E9" s="5">
        <v>5.2009999999999996</v>
      </c>
      <c r="F9" s="5">
        <v>0.21099999999999999</v>
      </c>
      <c r="G9" s="5"/>
      <c r="H9" s="5"/>
      <c r="I9" s="5"/>
      <c r="J9" s="5"/>
      <c r="K9" s="5"/>
      <c r="L9" s="5"/>
    </row>
    <row r="10" spans="1:27" x14ac:dyDescent="0.2">
      <c r="A10" s="5" t="s">
        <v>51</v>
      </c>
      <c r="B10" s="5"/>
      <c r="C10" s="6">
        <f>AVERAGE(C2:C9)</f>
        <v>4.9486250000000007</v>
      </c>
      <c r="D10" s="6">
        <f t="shared" ref="D10:F10" si="1">AVERAGE(D2:D9)</f>
        <v>0.21237500000000001</v>
      </c>
      <c r="E10" s="6">
        <f t="shared" si="1"/>
        <v>5.2108750000000006</v>
      </c>
      <c r="F10" s="6">
        <f t="shared" si="1"/>
        <v>0.20362500000000003</v>
      </c>
      <c r="G10" s="5"/>
      <c r="H10" s="5"/>
      <c r="I10" s="5"/>
      <c r="J10" s="5"/>
      <c r="K10" s="5"/>
      <c r="L10" s="5"/>
    </row>
    <row r="11" spans="1:27" x14ac:dyDescent="0.2">
      <c r="A11" s="5">
        <v>2</v>
      </c>
      <c r="B11" s="5">
        <v>1</v>
      </c>
      <c r="C11" s="5">
        <v>4.7309999999999999</v>
      </c>
      <c r="D11" s="5">
        <v>0.24099999999999999</v>
      </c>
      <c r="E11" s="5">
        <v>4.5570000000000004</v>
      </c>
      <c r="F11" s="5">
        <v>0.26</v>
      </c>
      <c r="G11" s="5">
        <v>5.5229999999999997</v>
      </c>
      <c r="H11" s="5">
        <v>0.20499999999999999</v>
      </c>
      <c r="I11" s="5">
        <v>5.4539999999999997</v>
      </c>
      <c r="J11" s="5">
        <v>0.222</v>
      </c>
      <c r="K11" s="5" t="s">
        <v>15</v>
      </c>
      <c r="L11" s="5" t="s">
        <v>16</v>
      </c>
    </row>
    <row r="12" spans="1:27" x14ac:dyDescent="0.2">
      <c r="A12" s="5">
        <v>2</v>
      </c>
      <c r="B12" s="5">
        <v>2</v>
      </c>
      <c r="C12" s="5">
        <v>4.5919999999999996</v>
      </c>
      <c r="D12" s="5">
        <v>0.248</v>
      </c>
      <c r="E12" s="5">
        <v>4.5750000000000002</v>
      </c>
      <c r="F12" s="5">
        <v>0.26300000000000001</v>
      </c>
      <c r="G12" s="5"/>
      <c r="H12" s="5"/>
      <c r="I12" s="5"/>
      <c r="J12" s="5"/>
      <c r="K12" s="5"/>
      <c r="L12" s="5"/>
    </row>
    <row r="13" spans="1:27" x14ac:dyDescent="0.2">
      <c r="A13" s="5">
        <v>2</v>
      </c>
      <c r="B13" s="5">
        <v>3</v>
      </c>
      <c r="C13" s="5">
        <v>4.5179999999999998</v>
      </c>
      <c r="D13" s="5">
        <v>0.252</v>
      </c>
      <c r="E13" s="5">
        <v>4.5880000000000001</v>
      </c>
      <c r="F13" s="5">
        <v>0.26500000000000001</v>
      </c>
      <c r="G13" s="5"/>
      <c r="H13" s="5"/>
      <c r="I13" s="5"/>
      <c r="J13" s="5"/>
      <c r="K13" s="5"/>
      <c r="L13" s="5"/>
    </row>
    <row r="14" spans="1:27" x14ac:dyDescent="0.2">
      <c r="A14" s="5">
        <v>2</v>
      </c>
      <c r="B14" s="5" t="s">
        <v>47</v>
      </c>
      <c r="C14" s="5" t="s">
        <v>47</v>
      </c>
      <c r="D14" s="5" t="s">
        <v>47</v>
      </c>
      <c r="E14" s="5" t="s">
        <v>47</v>
      </c>
      <c r="F14" s="5" t="s">
        <v>47</v>
      </c>
      <c r="G14" s="5"/>
      <c r="H14" s="5"/>
      <c r="I14" s="5"/>
      <c r="J14" s="5"/>
      <c r="K14" s="5"/>
      <c r="L14" s="5"/>
    </row>
    <row r="15" spans="1:27" x14ac:dyDescent="0.2">
      <c r="A15" s="5" t="s">
        <v>51</v>
      </c>
      <c r="B15" s="5"/>
      <c r="C15" s="6">
        <f>AVERAGE(C11:C14)</f>
        <v>4.613666666666667</v>
      </c>
      <c r="D15" s="6">
        <f t="shared" ref="D15:F15" si="2">AVERAGE(D11:D14)</f>
        <v>0.247</v>
      </c>
      <c r="E15" s="6">
        <f t="shared" si="2"/>
        <v>4.5733333333333341</v>
      </c>
      <c r="F15" s="6">
        <f t="shared" si="2"/>
        <v>0.26266666666666666</v>
      </c>
      <c r="G15" s="5"/>
      <c r="H15" s="5"/>
      <c r="I15" s="5"/>
      <c r="J15" s="5"/>
      <c r="K15" s="5"/>
      <c r="L15" s="5"/>
    </row>
    <row r="16" spans="1:27" x14ac:dyDescent="0.2">
      <c r="A16" s="5">
        <v>3</v>
      </c>
      <c r="B16" s="5">
        <v>1</v>
      </c>
      <c r="C16" s="5">
        <v>4.2869999999999999</v>
      </c>
      <c r="D16" s="5">
        <v>0.28199999999999997</v>
      </c>
      <c r="E16" s="5">
        <v>4.0110000000000001</v>
      </c>
      <c r="F16" s="5">
        <v>0.31900000000000001</v>
      </c>
      <c r="G16" s="5">
        <v>5.4450000000000003</v>
      </c>
      <c r="H16" s="5">
        <v>0.223</v>
      </c>
      <c r="I16" s="5">
        <v>5.4580000000000002</v>
      </c>
      <c r="J16" s="5">
        <v>0.23300000000000001</v>
      </c>
      <c r="K16" s="5" t="s">
        <v>17</v>
      </c>
      <c r="L16" s="5" t="s">
        <v>18</v>
      </c>
    </row>
    <row r="17" spans="1:12" x14ac:dyDescent="0.2">
      <c r="A17" s="5">
        <v>3</v>
      </c>
      <c r="B17" s="5">
        <v>2</v>
      </c>
      <c r="C17" s="5">
        <v>4.157</v>
      </c>
      <c r="D17" s="5">
        <v>0.28699999999999998</v>
      </c>
      <c r="E17" s="5">
        <v>4.0460000000000003</v>
      </c>
      <c r="F17" s="5">
        <v>0.32</v>
      </c>
      <c r="G17" s="5"/>
      <c r="H17" s="5"/>
      <c r="I17" s="5"/>
      <c r="J17" s="5"/>
      <c r="K17" s="5"/>
      <c r="L17" s="5"/>
    </row>
    <row r="18" spans="1:12" x14ac:dyDescent="0.2">
      <c r="A18" s="5">
        <v>3</v>
      </c>
      <c r="B18" s="5">
        <v>3</v>
      </c>
      <c r="C18" s="5">
        <v>4.0880000000000001</v>
      </c>
      <c r="D18" s="5">
        <v>0.29099999999999998</v>
      </c>
      <c r="E18" s="5">
        <v>4.07</v>
      </c>
      <c r="F18" s="5">
        <v>0.32200000000000001</v>
      </c>
      <c r="G18" s="5"/>
      <c r="H18" s="5"/>
      <c r="I18" s="5"/>
      <c r="J18" s="5"/>
      <c r="K18" s="5"/>
      <c r="L18" s="5"/>
    </row>
    <row r="19" spans="1:12" x14ac:dyDescent="0.2">
      <c r="A19" s="5">
        <v>3</v>
      </c>
      <c r="B19" s="5" t="s">
        <v>47</v>
      </c>
      <c r="C19" s="5" t="s">
        <v>47</v>
      </c>
      <c r="D19" s="5" t="s">
        <v>47</v>
      </c>
      <c r="E19" s="5" t="s">
        <v>47</v>
      </c>
      <c r="F19" s="5" t="s">
        <v>47</v>
      </c>
      <c r="G19" s="5"/>
      <c r="H19" s="5"/>
      <c r="I19" s="5"/>
      <c r="J19" s="5"/>
      <c r="K19" s="5"/>
      <c r="L19" s="5"/>
    </row>
    <row r="20" spans="1:12" x14ac:dyDescent="0.2">
      <c r="A20" s="5" t="s">
        <v>51</v>
      </c>
      <c r="B20" s="5"/>
      <c r="C20" s="6">
        <f>AVERAGE(C15:C19)</f>
        <v>4.2864166666666668</v>
      </c>
      <c r="D20" s="6">
        <f t="shared" ref="D20:F20" si="3">AVERAGE(D15:D19)</f>
        <v>0.27674999999999994</v>
      </c>
      <c r="E20" s="6">
        <f t="shared" si="3"/>
        <v>4.1750833333333333</v>
      </c>
      <c r="F20" s="6">
        <f t="shared" si="3"/>
        <v>0.30591666666666667</v>
      </c>
      <c r="G20" s="5"/>
      <c r="H20" s="5"/>
      <c r="I20" s="5"/>
      <c r="J20" s="5"/>
      <c r="K20" s="5"/>
      <c r="L20" s="5"/>
    </row>
    <row r="21" spans="1:12" x14ac:dyDescent="0.2">
      <c r="A21" s="5">
        <v>4</v>
      </c>
      <c r="B21" s="5">
        <v>1</v>
      </c>
      <c r="C21" s="5">
        <v>3.9159999999999999</v>
      </c>
      <c r="D21" s="5">
        <v>0.313</v>
      </c>
      <c r="E21" s="5">
        <v>3.5339999999999998</v>
      </c>
      <c r="F21" s="5">
        <v>0.36899999999999999</v>
      </c>
      <c r="G21" s="5">
        <v>5.63</v>
      </c>
      <c r="H21" s="5">
        <v>0.22700000000000001</v>
      </c>
      <c r="I21" s="5">
        <v>5.5650000000000004</v>
      </c>
      <c r="J21" s="5">
        <v>0.24099999999999999</v>
      </c>
      <c r="K21" s="5" t="s">
        <v>19</v>
      </c>
      <c r="L21" s="5" t="s">
        <v>20</v>
      </c>
    </row>
    <row r="22" spans="1:12" x14ac:dyDescent="0.2">
      <c r="A22" s="5">
        <v>4</v>
      </c>
      <c r="B22" s="5">
        <v>2</v>
      </c>
      <c r="C22" s="5">
        <v>3.7679999999999998</v>
      </c>
      <c r="D22" s="5">
        <v>0.32400000000000001</v>
      </c>
      <c r="E22" s="5">
        <v>3.57</v>
      </c>
      <c r="F22" s="5">
        <v>0.372</v>
      </c>
      <c r="G22" s="5"/>
      <c r="H22" s="5"/>
      <c r="I22" s="5"/>
      <c r="J22" s="5"/>
      <c r="K22" s="5"/>
      <c r="L22" s="5"/>
    </row>
    <row r="23" spans="1:12" x14ac:dyDescent="0.2">
      <c r="A23" s="5">
        <v>4</v>
      </c>
      <c r="B23" s="5">
        <v>3</v>
      </c>
      <c r="C23" s="5">
        <v>3.702</v>
      </c>
      <c r="D23" s="5">
        <v>0.32800000000000001</v>
      </c>
      <c r="E23" s="5">
        <v>3.5960000000000001</v>
      </c>
      <c r="F23" s="5">
        <v>0.375</v>
      </c>
      <c r="G23" s="5"/>
      <c r="H23" s="5"/>
      <c r="I23" s="5"/>
      <c r="J23" s="5"/>
      <c r="K23" s="5"/>
      <c r="L23" s="5"/>
    </row>
    <row r="24" spans="1:12" x14ac:dyDescent="0.2">
      <c r="A24" s="5">
        <v>4</v>
      </c>
      <c r="B24" s="5" t="s">
        <v>47</v>
      </c>
      <c r="C24" s="5" t="s">
        <v>47</v>
      </c>
      <c r="D24" s="5" t="s">
        <v>47</v>
      </c>
      <c r="E24" s="5" t="s">
        <v>47</v>
      </c>
      <c r="F24" s="5" t="s">
        <v>47</v>
      </c>
      <c r="G24" s="5"/>
      <c r="H24" s="5"/>
      <c r="I24" s="5"/>
      <c r="J24" s="5"/>
      <c r="K24" s="5"/>
      <c r="L24" s="5"/>
    </row>
    <row r="25" spans="1:12" x14ac:dyDescent="0.2">
      <c r="A25" s="5" t="s">
        <v>51</v>
      </c>
      <c r="B25" s="5"/>
      <c r="C25" s="6">
        <f>AVERAGE(C21:C24)</f>
        <v>3.7953333333333332</v>
      </c>
      <c r="D25" s="6">
        <f t="shared" ref="D25:F25" si="4">AVERAGE(D21:D24)</f>
        <v>0.32166666666666671</v>
      </c>
      <c r="E25" s="6">
        <f t="shared" si="4"/>
        <v>3.5666666666666664</v>
      </c>
      <c r="F25" s="6">
        <f t="shared" si="4"/>
        <v>0.37200000000000005</v>
      </c>
      <c r="G25" s="5"/>
      <c r="H25" s="5"/>
      <c r="I25" s="5"/>
      <c r="J25" s="5"/>
      <c r="K25" s="5"/>
      <c r="L25" s="5"/>
    </row>
    <row r="26" spans="1:12" x14ac:dyDescent="0.2">
      <c r="A26" s="5">
        <v>5</v>
      </c>
      <c r="B26" s="5">
        <v>1</v>
      </c>
      <c r="C26" s="5">
        <v>3.6709999999999998</v>
      </c>
      <c r="D26" s="5">
        <v>0.33</v>
      </c>
      <c r="E26" s="5">
        <v>3.371</v>
      </c>
      <c r="F26" s="5">
        <v>0.38600000000000001</v>
      </c>
      <c r="G26" s="5">
        <v>5.5789999999999997</v>
      </c>
      <c r="H26" s="5">
        <v>0.23200000000000001</v>
      </c>
      <c r="I26" s="5">
        <v>5.4829999999999997</v>
      </c>
      <c r="J26" s="5">
        <v>0.24399999999999999</v>
      </c>
      <c r="K26" s="5" t="s">
        <v>21</v>
      </c>
      <c r="L26" s="5" t="s">
        <v>22</v>
      </c>
    </row>
    <row r="27" spans="1:12" x14ac:dyDescent="0.2">
      <c r="A27" s="5">
        <v>5</v>
      </c>
      <c r="B27" s="5">
        <v>2</v>
      </c>
      <c r="C27" s="5">
        <v>3.54</v>
      </c>
      <c r="D27" s="5">
        <v>0.34100000000000003</v>
      </c>
      <c r="E27" s="5">
        <v>3.415</v>
      </c>
      <c r="F27" s="5">
        <v>0.38700000000000001</v>
      </c>
      <c r="G27" s="5"/>
      <c r="H27" s="5"/>
      <c r="I27" s="5"/>
      <c r="J27" s="5"/>
      <c r="K27" s="5"/>
      <c r="L27" s="5"/>
    </row>
    <row r="28" spans="1:12" x14ac:dyDescent="0.2">
      <c r="A28" s="5">
        <v>5</v>
      </c>
      <c r="B28" s="5">
        <v>3</v>
      </c>
      <c r="C28" s="5">
        <v>3.4769999999999999</v>
      </c>
      <c r="D28" s="5">
        <v>0.34499999999999997</v>
      </c>
      <c r="E28" s="5">
        <v>3.4460000000000002</v>
      </c>
      <c r="F28" s="5">
        <v>0.38500000000000001</v>
      </c>
      <c r="G28" s="5"/>
      <c r="H28" s="5"/>
      <c r="I28" s="5"/>
      <c r="J28" s="5"/>
      <c r="K28" s="5"/>
      <c r="L28" s="5"/>
    </row>
    <row r="29" spans="1:12" x14ac:dyDescent="0.2">
      <c r="A29" s="5">
        <v>5</v>
      </c>
      <c r="B29" s="5" t="s">
        <v>47</v>
      </c>
      <c r="C29" s="5" t="s">
        <v>47</v>
      </c>
      <c r="D29" s="5" t="s">
        <v>47</v>
      </c>
      <c r="E29" s="5" t="s">
        <v>47</v>
      </c>
      <c r="F29" s="5" t="s">
        <v>47</v>
      </c>
      <c r="G29" s="5"/>
      <c r="H29" s="5"/>
      <c r="I29" s="5"/>
      <c r="J29" s="5"/>
      <c r="K29" s="5"/>
      <c r="L29" s="5"/>
    </row>
    <row r="30" spans="1:12" x14ac:dyDescent="0.2">
      <c r="A30" s="5" t="s">
        <v>51</v>
      </c>
      <c r="B30" s="5"/>
      <c r="C30" s="6">
        <f>AVERAGE(C16:C19)</f>
        <v>4.1773333333333333</v>
      </c>
      <c r="D30" s="6">
        <f t="shared" ref="D30:F30" si="5">AVERAGE(D16:D19)</f>
        <v>0.28666666666666663</v>
      </c>
      <c r="E30" s="6">
        <f t="shared" si="5"/>
        <v>4.0423333333333336</v>
      </c>
      <c r="F30" s="6">
        <f t="shared" si="5"/>
        <v>0.32033333333333336</v>
      </c>
      <c r="G30" s="5"/>
      <c r="H30" s="5"/>
      <c r="I30" s="5"/>
      <c r="J30" s="5"/>
      <c r="K30" s="5"/>
      <c r="L30" s="5"/>
    </row>
    <row r="31" spans="1:12" x14ac:dyDescent="0.2">
      <c r="A31" s="5">
        <v>6</v>
      </c>
      <c r="B31" s="5">
        <v>1</v>
      </c>
      <c r="C31" s="5">
        <v>3.431</v>
      </c>
      <c r="D31" s="5">
        <v>0.35199999999999998</v>
      </c>
      <c r="E31" s="5">
        <v>2.964</v>
      </c>
      <c r="F31" s="5">
        <v>0.44500000000000001</v>
      </c>
      <c r="G31" s="5">
        <v>5.7930000000000001</v>
      </c>
      <c r="H31" s="5">
        <v>0.23200000000000001</v>
      </c>
      <c r="I31" s="5">
        <v>5.6749999999999998</v>
      </c>
      <c r="J31" s="5">
        <v>0.246</v>
      </c>
      <c r="K31" s="5" t="s">
        <v>23</v>
      </c>
      <c r="L31" s="5" t="s">
        <v>24</v>
      </c>
    </row>
    <row r="32" spans="1:12" x14ac:dyDescent="0.2">
      <c r="A32" s="5">
        <v>6</v>
      </c>
      <c r="B32" s="5">
        <v>2</v>
      </c>
      <c r="C32" s="5">
        <v>3.2770000000000001</v>
      </c>
      <c r="D32" s="5">
        <v>0.36699999999999999</v>
      </c>
      <c r="E32" s="5">
        <v>3.01</v>
      </c>
      <c r="F32" s="5">
        <v>0.443</v>
      </c>
      <c r="G32" s="5"/>
      <c r="H32" s="5"/>
      <c r="I32" s="5"/>
      <c r="J32" s="5"/>
      <c r="K32" s="5"/>
      <c r="L32" s="5"/>
    </row>
    <row r="33" spans="1:12" x14ac:dyDescent="0.2">
      <c r="A33" s="5">
        <v>6</v>
      </c>
      <c r="B33" s="5">
        <v>3</v>
      </c>
      <c r="C33" s="5">
        <v>3.198</v>
      </c>
      <c r="D33" s="5">
        <v>0.376</v>
      </c>
      <c r="E33" s="5">
        <v>3.0459999999999998</v>
      </c>
      <c r="F33" s="5">
        <v>0.442</v>
      </c>
      <c r="G33" s="5"/>
      <c r="H33" s="5"/>
      <c r="I33" s="5"/>
      <c r="J33" s="5"/>
      <c r="K33" s="5"/>
      <c r="L33" s="5"/>
    </row>
    <row r="34" spans="1:12" x14ac:dyDescent="0.2">
      <c r="A34" s="5">
        <v>6</v>
      </c>
      <c r="B34" s="5" t="s">
        <v>47</v>
      </c>
      <c r="C34" s="5" t="s">
        <v>47</v>
      </c>
      <c r="D34" s="5" t="s">
        <v>47</v>
      </c>
      <c r="E34" s="5" t="s">
        <v>47</v>
      </c>
      <c r="F34" s="5" t="s">
        <v>47</v>
      </c>
      <c r="G34" s="5"/>
      <c r="H34" s="5"/>
      <c r="I34" s="5"/>
      <c r="J34" s="5"/>
      <c r="K34" s="5"/>
    </row>
    <row r="35" spans="1:12" x14ac:dyDescent="0.2">
      <c r="A35" s="5" t="s">
        <v>51</v>
      </c>
      <c r="C35" s="3">
        <f>AVERAGE(C31:C34)</f>
        <v>3.302</v>
      </c>
      <c r="D35" s="3">
        <f t="shared" ref="D35:F35" si="6">AVERAGE(D31:D34)</f>
        <v>0.36499999999999999</v>
      </c>
      <c r="E35" s="3">
        <f t="shared" si="6"/>
        <v>3.0066666666666664</v>
      </c>
      <c r="F35" s="3">
        <f t="shared" si="6"/>
        <v>0.44333333333333336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7DAB-3E53-B14E-818A-1C4D8470CD8F}">
  <dimension ref="A1:AA38"/>
  <sheetViews>
    <sheetView topLeftCell="G1" workbookViewId="0">
      <selection activeCell="N1" sqref="N1:AA8"/>
    </sheetView>
  </sheetViews>
  <sheetFormatPr baseColWidth="10" defaultRowHeight="16" x14ac:dyDescent="0.2"/>
  <cols>
    <col min="2" max="2" width="11.5" style="3" bestFit="1" customWidth="1"/>
    <col min="3" max="3" width="15.6640625" style="3" bestFit="1" customWidth="1"/>
    <col min="4" max="5" width="10.83203125" style="3"/>
    <col min="6" max="6" width="13.6640625" bestFit="1" customWidth="1"/>
    <col min="7" max="7" width="11.5" bestFit="1" customWidth="1"/>
    <col min="8" max="8" width="15.6640625" bestFit="1" customWidth="1"/>
    <col min="9" max="9" width="10.1640625" bestFit="1" customWidth="1"/>
    <col min="10" max="10" width="14.33203125" bestFit="1" customWidth="1"/>
    <col min="11" max="11" width="13.6640625" bestFit="1" customWidth="1"/>
    <col min="12" max="12" width="14.33203125" bestFit="1" customWidth="1"/>
    <col min="24" max="24" width="13.6640625" bestFit="1" customWidth="1"/>
    <col min="25" max="25" width="14.33203125" bestFit="1" customWidth="1"/>
  </cols>
  <sheetData>
    <row r="1" spans="1:27" x14ac:dyDescent="0.2">
      <c r="A1" s="4" t="s">
        <v>0</v>
      </c>
      <c r="B1" s="4" t="s">
        <v>1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N1" s="7" t="s">
        <v>0</v>
      </c>
      <c r="O1" s="7" t="s">
        <v>1</v>
      </c>
      <c r="P1" s="7" t="s">
        <v>41</v>
      </c>
      <c r="Q1" s="7" t="s">
        <v>42</v>
      </c>
      <c r="R1" s="7" t="s">
        <v>43</v>
      </c>
      <c r="S1" s="7" t="s">
        <v>44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</v>
      </c>
      <c r="Y1" s="7" t="s">
        <v>54</v>
      </c>
      <c r="Z1" s="7" t="s">
        <v>55</v>
      </c>
      <c r="AA1" s="7" t="s">
        <v>56</v>
      </c>
    </row>
    <row r="2" spans="1:27" x14ac:dyDescent="0.2">
      <c r="A2" s="5">
        <v>1</v>
      </c>
      <c r="B2" s="5">
        <v>1</v>
      </c>
      <c r="C2" s="5">
        <v>4.0250000000000004</v>
      </c>
      <c r="D2" s="5">
        <v>0.35</v>
      </c>
      <c r="E2" s="5">
        <v>3.903</v>
      </c>
      <c r="F2" s="5">
        <v>0.36799999999999999</v>
      </c>
      <c r="G2" s="5">
        <v>4.2930000000000001</v>
      </c>
      <c r="H2" s="5">
        <v>0.34100000000000003</v>
      </c>
      <c r="I2" s="5">
        <v>3.9670000000000001</v>
      </c>
      <c r="J2" s="5">
        <v>0.371</v>
      </c>
      <c r="K2" s="5" t="s">
        <v>48</v>
      </c>
      <c r="L2" s="5" t="s">
        <v>49</v>
      </c>
      <c r="N2" s="8">
        <v>1</v>
      </c>
      <c r="O2" s="8">
        <v>8</v>
      </c>
      <c r="P2" s="8">
        <v>3.653</v>
      </c>
      <c r="Q2" s="8">
        <v>0.379</v>
      </c>
      <c r="R2" s="8">
        <v>3.7919999999999998</v>
      </c>
      <c r="S2" s="8">
        <v>0.38100000000000001</v>
      </c>
      <c r="T2" s="8">
        <v>4.2930000000000001</v>
      </c>
      <c r="U2" s="8">
        <v>0.34100000000000003</v>
      </c>
      <c r="V2" s="8">
        <v>3.9670000000000001</v>
      </c>
      <c r="W2" s="8">
        <v>0.371</v>
      </c>
      <c r="X2" s="8">
        <v>-0.32600000000000001</v>
      </c>
      <c r="Y2" s="8">
        <v>-7.59</v>
      </c>
      <c r="Z2" s="8">
        <v>0.03</v>
      </c>
      <c r="AA2" s="8">
        <v>8.77</v>
      </c>
    </row>
    <row r="3" spans="1:27" x14ac:dyDescent="0.2">
      <c r="A3" s="5">
        <v>1</v>
      </c>
      <c r="B3" s="5">
        <v>2</v>
      </c>
      <c r="C3" s="5">
        <v>3.847</v>
      </c>
      <c r="D3" s="5">
        <v>0.36699999999999999</v>
      </c>
      <c r="E3" s="5">
        <v>3.8610000000000002</v>
      </c>
      <c r="F3" s="5">
        <v>0.375</v>
      </c>
      <c r="G3" s="5"/>
      <c r="H3" s="5"/>
      <c r="I3" s="5"/>
      <c r="J3" s="5"/>
      <c r="K3" s="5"/>
      <c r="L3" s="5"/>
      <c r="N3" s="8">
        <v>2</v>
      </c>
      <c r="O3" s="8">
        <v>6</v>
      </c>
      <c r="P3" s="8">
        <v>3.395</v>
      </c>
      <c r="Q3" s="8">
        <v>0.40400000000000003</v>
      </c>
      <c r="R3" s="8">
        <v>3.4889999999999999</v>
      </c>
      <c r="S3" s="8">
        <v>0.40799999999999997</v>
      </c>
      <c r="T3" s="8">
        <v>4.07</v>
      </c>
      <c r="U3" s="8">
        <v>0.36</v>
      </c>
      <c r="V3" s="8">
        <v>3.9009999999999998</v>
      </c>
      <c r="W3" s="8">
        <v>0.38600000000000001</v>
      </c>
      <c r="X3" s="8">
        <v>-0.16900000000000001</v>
      </c>
      <c r="Y3" s="8">
        <v>-4.1500000000000004</v>
      </c>
      <c r="Z3" s="8">
        <v>2.5999999999999999E-2</v>
      </c>
      <c r="AA3" s="8">
        <v>7.09</v>
      </c>
    </row>
    <row r="4" spans="1:27" x14ac:dyDescent="0.2">
      <c r="A4" s="5">
        <v>1</v>
      </c>
      <c r="B4" s="5">
        <v>3</v>
      </c>
      <c r="C4" s="5">
        <v>3.7509999999999999</v>
      </c>
      <c r="D4" s="5">
        <v>0.373</v>
      </c>
      <c r="E4" s="5">
        <v>3.8260000000000001</v>
      </c>
      <c r="F4" s="5">
        <v>0.378</v>
      </c>
      <c r="G4" s="5"/>
      <c r="H4" s="5"/>
      <c r="I4" s="5"/>
      <c r="J4" s="5"/>
      <c r="K4" s="5"/>
      <c r="L4" s="5"/>
      <c r="N4" s="8">
        <v>3</v>
      </c>
      <c r="O4" s="8">
        <v>3</v>
      </c>
      <c r="P4" s="8">
        <v>3.2410000000000001</v>
      </c>
      <c r="Q4" s="8">
        <v>0.42</v>
      </c>
      <c r="R4" s="8">
        <v>3.2280000000000002</v>
      </c>
      <c r="S4" s="8">
        <v>0.432</v>
      </c>
      <c r="T4" s="8">
        <v>3.9359999999999999</v>
      </c>
      <c r="U4" s="8">
        <v>0.372</v>
      </c>
      <c r="V4" s="8">
        <v>3.8460000000000001</v>
      </c>
      <c r="W4" s="8">
        <v>0.39300000000000002</v>
      </c>
      <c r="X4" s="8">
        <v>-0.09</v>
      </c>
      <c r="Y4" s="8">
        <v>-2.29</v>
      </c>
      <c r="Z4" s="8">
        <v>2.1000000000000001E-2</v>
      </c>
      <c r="AA4" s="8">
        <v>5.59</v>
      </c>
    </row>
    <row r="5" spans="1:27" x14ac:dyDescent="0.2">
      <c r="A5" s="5">
        <v>1</v>
      </c>
      <c r="B5" s="5">
        <v>4</v>
      </c>
      <c r="C5" s="5">
        <v>3.6659999999999999</v>
      </c>
      <c r="D5" s="5">
        <v>0.378</v>
      </c>
      <c r="E5" s="5">
        <v>3.7949999999999999</v>
      </c>
      <c r="F5" s="5">
        <v>0.38100000000000001</v>
      </c>
      <c r="G5" s="5"/>
      <c r="H5" s="5"/>
      <c r="I5" s="5"/>
      <c r="J5" s="5"/>
      <c r="K5" s="5"/>
      <c r="L5" s="5"/>
      <c r="N5" s="8">
        <v>4</v>
      </c>
      <c r="O5" s="8">
        <v>3</v>
      </c>
      <c r="P5" s="8">
        <v>3.0190000000000001</v>
      </c>
      <c r="Q5" s="8">
        <v>0.442</v>
      </c>
      <c r="R5" s="8">
        <v>3.0139999999999998</v>
      </c>
      <c r="S5" s="8">
        <v>0.45400000000000001</v>
      </c>
      <c r="T5" s="8">
        <v>3.8839999999999999</v>
      </c>
      <c r="U5" s="8">
        <v>0.38800000000000001</v>
      </c>
      <c r="V5" s="8">
        <v>3.8039999999999998</v>
      </c>
      <c r="W5" s="8">
        <v>0.40400000000000003</v>
      </c>
      <c r="X5" s="8">
        <v>-8.1000000000000003E-2</v>
      </c>
      <c r="Y5" s="8">
        <v>-2.08</v>
      </c>
      <c r="Z5" s="8">
        <v>1.6E-2</v>
      </c>
      <c r="AA5" s="8">
        <v>4.05</v>
      </c>
    </row>
    <row r="6" spans="1:27" x14ac:dyDescent="0.2">
      <c r="A6" s="5">
        <v>1</v>
      </c>
      <c r="B6" s="5">
        <v>5</v>
      </c>
      <c r="C6" s="5">
        <v>3.5880000000000001</v>
      </c>
      <c r="D6" s="5">
        <v>0.38300000000000001</v>
      </c>
      <c r="E6" s="5">
        <v>3.7690000000000001</v>
      </c>
      <c r="F6" s="5">
        <v>0.38300000000000001</v>
      </c>
      <c r="G6" s="5"/>
      <c r="H6" s="5"/>
      <c r="I6" s="5"/>
      <c r="J6" s="5"/>
      <c r="K6" s="5"/>
      <c r="L6" s="5"/>
      <c r="N6" s="8">
        <v>5</v>
      </c>
      <c r="O6" s="8">
        <v>3</v>
      </c>
      <c r="P6" s="8">
        <v>2.7949999999999999</v>
      </c>
      <c r="Q6" s="8">
        <v>0.46600000000000003</v>
      </c>
      <c r="R6" s="8">
        <v>2.7890000000000001</v>
      </c>
      <c r="S6" s="8">
        <v>0.47799999999999998</v>
      </c>
      <c r="T6" s="8">
        <v>3.827</v>
      </c>
      <c r="U6" s="8">
        <v>0.4</v>
      </c>
      <c r="V6" s="8">
        <v>3.7429999999999999</v>
      </c>
      <c r="W6" s="8">
        <v>0.41399999999999998</v>
      </c>
      <c r="X6" s="8">
        <v>-8.4000000000000005E-2</v>
      </c>
      <c r="Y6" s="8">
        <v>-2.19</v>
      </c>
      <c r="Z6" s="8">
        <v>1.4E-2</v>
      </c>
      <c r="AA6" s="8">
        <v>3.52</v>
      </c>
    </row>
    <row r="7" spans="1:27" x14ac:dyDescent="0.2">
      <c r="A7" s="5">
        <v>1</v>
      </c>
      <c r="B7" s="5">
        <v>6</v>
      </c>
      <c r="C7" s="5">
        <v>3.5150000000000001</v>
      </c>
      <c r="D7" s="5">
        <v>0.38800000000000001</v>
      </c>
      <c r="E7" s="5">
        <v>3.746</v>
      </c>
      <c r="F7" s="5">
        <v>0.38600000000000001</v>
      </c>
      <c r="G7" s="5"/>
      <c r="H7" s="5"/>
      <c r="I7" s="5"/>
      <c r="J7" s="5"/>
      <c r="K7" s="5"/>
      <c r="L7" s="5"/>
      <c r="N7" s="8">
        <v>6</v>
      </c>
      <c r="O7" s="8">
        <v>3</v>
      </c>
      <c r="P7" s="8">
        <v>2.629</v>
      </c>
      <c r="Q7" s="8">
        <v>0.48499999999999999</v>
      </c>
      <c r="R7" s="8">
        <v>2.6240000000000001</v>
      </c>
      <c r="S7" s="8">
        <v>0.49399999999999999</v>
      </c>
      <c r="T7" s="8">
        <v>3.8530000000000002</v>
      </c>
      <c r="U7" s="8">
        <v>0.40100000000000002</v>
      </c>
      <c r="V7" s="8">
        <v>3.7639999999999998</v>
      </c>
      <c r="W7" s="8">
        <v>0.41899999999999998</v>
      </c>
      <c r="X7" s="8">
        <v>-8.8999999999999996E-2</v>
      </c>
      <c r="Y7" s="8">
        <v>-2.2999999999999998</v>
      </c>
      <c r="Z7" s="8">
        <v>1.7000000000000001E-2</v>
      </c>
      <c r="AA7" s="8">
        <v>4.3499999999999996</v>
      </c>
    </row>
    <row r="8" spans="1:27" x14ac:dyDescent="0.2">
      <c r="A8" s="5">
        <v>1</v>
      </c>
      <c r="B8" s="5">
        <v>7</v>
      </c>
      <c r="C8" s="5">
        <v>3.4470000000000001</v>
      </c>
      <c r="D8" s="5">
        <v>0.39300000000000002</v>
      </c>
      <c r="E8" s="5">
        <v>3.7269999999999999</v>
      </c>
      <c r="F8" s="5">
        <v>0.38800000000000001</v>
      </c>
      <c r="G8" s="5"/>
      <c r="H8" s="5"/>
      <c r="I8" s="5"/>
      <c r="J8" s="5"/>
      <c r="K8" s="5"/>
      <c r="L8" s="5"/>
      <c r="N8" t="s">
        <v>51</v>
      </c>
      <c r="O8" s="2">
        <f>AVERAGE(O2:O7)</f>
        <v>4.333333333333333</v>
      </c>
      <c r="P8" s="3">
        <f t="shared" ref="P8:AA8" si="0">AVERAGE(P2:P7)</f>
        <v>3.1220000000000003</v>
      </c>
      <c r="Q8" s="3">
        <f t="shared" si="0"/>
        <v>0.4326666666666667</v>
      </c>
      <c r="R8" s="3">
        <f t="shared" si="0"/>
        <v>3.1560000000000001</v>
      </c>
      <c r="S8" s="3">
        <f t="shared" si="0"/>
        <v>0.44116666666666654</v>
      </c>
      <c r="T8" s="3">
        <f t="shared" si="0"/>
        <v>3.9771666666666667</v>
      </c>
      <c r="U8" s="3">
        <f t="shared" si="0"/>
        <v>0.37699999999999995</v>
      </c>
      <c r="V8" s="3">
        <f t="shared" si="0"/>
        <v>3.8374999999999999</v>
      </c>
      <c r="W8" s="3">
        <f t="shared" si="0"/>
        <v>0.39783333333333326</v>
      </c>
      <c r="X8" s="3">
        <f t="shared" si="0"/>
        <v>-0.13983333333333331</v>
      </c>
      <c r="Y8" s="2">
        <f t="shared" si="0"/>
        <v>-3.4333333333333336</v>
      </c>
      <c r="Z8" s="3">
        <f t="shared" si="0"/>
        <v>2.0666666666666667E-2</v>
      </c>
      <c r="AA8" s="2">
        <f t="shared" si="0"/>
        <v>5.5616666666666665</v>
      </c>
    </row>
    <row r="9" spans="1:27" x14ac:dyDescent="0.2">
      <c r="A9" s="5">
        <v>1</v>
      </c>
      <c r="B9" s="5">
        <v>8</v>
      </c>
      <c r="C9" s="5">
        <v>3.3820000000000001</v>
      </c>
      <c r="D9" s="5">
        <v>0.39800000000000002</v>
      </c>
      <c r="E9" s="5">
        <v>3.7109999999999999</v>
      </c>
      <c r="F9" s="5">
        <v>0.39</v>
      </c>
      <c r="G9" s="5"/>
      <c r="H9" s="5"/>
      <c r="I9" s="5"/>
      <c r="J9" s="5"/>
      <c r="K9" s="5"/>
      <c r="L9" s="5"/>
    </row>
    <row r="10" spans="1:27" x14ac:dyDescent="0.2">
      <c r="A10" s="5" t="s">
        <v>51</v>
      </c>
      <c r="B10" s="5"/>
      <c r="C10" s="6">
        <f>AVERAGE(C2:C9)</f>
        <v>3.652625</v>
      </c>
      <c r="D10" s="6">
        <f t="shared" ref="D10:F10" si="1">AVERAGE(D2:D9)</f>
        <v>0.37874999999999998</v>
      </c>
      <c r="E10" s="6">
        <f t="shared" si="1"/>
        <v>3.7922499999999997</v>
      </c>
      <c r="F10" s="6">
        <f t="shared" si="1"/>
        <v>0.38112499999999999</v>
      </c>
      <c r="G10" s="5"/>
      <c r="H10" s="5"/>
      <c r="I10" s="5"/>
      <c r="J10" s="5"/>
      <c r="K10" s="5"/>
      <c r="L10" s="5"/>
    </row>
    <row r="11" spans="1:27" x14ac:dyDescent="0.2">
      <c r="A11" s="5">
        <v>2</v>
      </c>
      <c r="B11" s="5">
        <v>1</v>
      </c>
      <c r="C11" s="5">
        <v>3.66</v>
      </c>
      <c r="D11" s="5">
        <v>0.379</v>
      </c>
      <c r="E11" s="5">
        <v>3.508</v>
      </c>
      <c r="F11" s="5">
        <v>0.40100000000000002</v>
      </c>
      <c r="G11" s="5">
        <v>4.07</v>
      </c>
      <c r="H11" s="5">
        <v>0.36</v>
      </c>
      <c r="I11" s="5">
        <v>3.9009999999999998</v>
      </c>
      <c r="J11" s="5">
        <v>0.38600000000000001</v>
      </c>
      <c r="K11" s="5" t="s">
        <v>25</v>
      </c>
      <c r="L11" s="5" t="s">
        <v>26</v>
      </c>
    </row>
    <row r="12" spans="1:27" x14ac:dyDescent="0.2">
      <c r="A12" s="5">
        <v>2</v>
      </c>
      <c r="B12" s="5">
        <v>2</v>
      </c>
      <c r="C12" s="5">
        <v>3.4780000000000002</v>
      </c>
      <c r="D12" s="5">
        <v>0.39800000000000002</v>
      </c>
      <c r="E12" s="5">
        <v>3.4980000000000002</v>
      </c>
      <c r="F12" s="5">
        <v>0.40500000000000003</v>
      </c>
      <c r="G12" s="5"/>
      <c r="H12" s="5"/>
      <c r="I12" s="5"/>
      <c r="J12" s="5"/>
      <c r="K12" s="5"/>
      <c r="L12" s="5"/>
    </row>
    <row r="13" spans="1:27" x14ac:dyDescent="0.2">
      <c r="A13" s="5">
        <v>2</v>
      </c>
      <c r="B13" s="5">
        <v>3</v>
      </c>
      <c r="C13" s="5">
        <v>3.4020000000000001</v>
      </c>
      <c r="D13" s="5">
        <v>0.40400000000000003</v>
      </c>
      <c r="E13" s="5">
        <v>3.4910000000000001</v>
      </c>
      <c r="F13" s="5">
        <v>0.40699999999999997</v>
      </c>
      <c r="G13" s="5"/>
      <c r="H13" s="5"/>
      <c r="I13" s="5"/>
      <c r="J13" s="5"/>
      <c r="K13" s="5"/>
      <c r="L13" s="5"/>
    </row>
    <row r="14" spans="1:27" x14ac:dyDescent="0.2">
      <c r="A14" s="5">
        <v>2</v>
      </c>
      <c r="B14" s="5">
        <v>4</v>
      </c>
      <c r="C14" s="5">
        <v>3.3359999999999999</v>
      </c>
      <c r="D14" s="5">
        <v>0.40899999999999997</v>
      </c>
      <c r="E14" s="5">
        <v>3.4849999999999999</v>
      </c>
      <c r="F14" s="5">
        <v>0.41</v>
      </c>
      <c r="G14" s="5"/>
      <c r="H14" s="5"/>
      <c r="I14" s="5"/>
      <c r="J14" s="5"/>
      <c r="K14" s="5"/>
      <c r="L14" s="5"/>
      <c r="U14" t="s">
        <v>52</v>
      </c>
    </row>
    <row r="15" spans="1:27" x14ac:dyDescent="0.2">
      <c r="A15" s="5">
        <v>2</v>
      </c>
      <c r="B15" s="5">
        <v>5</v>
      </c>
      <c r="C15" s="5">
        <v>3.2749999999999999</v>
      </c>
      <c r="D15" s="5">
        <v>0.41399999999999998</v>
      </c>
      <c r="E15" s="5">
        <v>3.4790000000000001</v>
      </c>
      <c r="F15" s="5">
        <v>0.41099999999999998</v>
      </c>
      <c r="G15" s="5"/>
      <c r="H15" s="5"/>
      <c r="I15" s="5"/>
      <c r="J15" s="5"/>
      <c r="K15" s="5"/>
      <c r="L15" s="5"/>
    </row>
    <row r="16" spans="1:27" x14ac:dyDescent="0.2">
      <c r="A16" s="5">
        <v>2</v>
      </c>
      <c r="B16" s="5">
        <v>6</v>
      </c>
      <c r="C16" s="5">
        <v>3.2160000000000002</v>
      </c>
      <c r="D16" s="5">
        <v>0.41699999999999998</v>
      </c>
      <c r="E16" s="5">
        <v>3.4740000000000002</v>
      </c>
      <c r="F16" s="5">
        <v>0.41299999999999998</v>
      </c>
      <c r="G16" s="5"/>
      <c r="H16" s="5"/>
      <c r="I16" s="5"/>
      <c r="J16" s="5"/>
      <c r="K16" s="5"/>
      <c r="L16" s="5"/>
    </row>
    <row r="17" spans="1:12" x14ac:dyDescent="0.2">
      <c r="A17" s="5">
        <v>2</v>
      </c>
      <c r="B17" s="5" t="s">
        <v>47</v>
      </c>
      <c r="C17" s="5" t="s">
        <v>47</v>
      </c>
      <c r="D17" s="5" t="s">
        <v>47</v>
      </c>
      <c r="E17" s="5" t="s">
        <v>47</v>
      </c>
      <c r="F17" s="5" t="s">
        <v>47</v>
      </c>
      <c r="G17" s="5"/>
      <c r="H17" s="5"/>
      <c r="I17" s="5"/>
      <c r="J17" s="5"/>
      <c r="K17" s="5"/>
      <c r="L17" s="5"/>
    </row>
    <row r="18" spans="1:12" x14ac:dyDescent="0.2">
      <c r="A18" s="5" t="s">
        <v>51</v>
      </c>
      <c r="B18" s="5"/>
      <c r="C18" s="6">
        <f>AVERAGE(C11:C17)</f>
        <v>3.3945000000000003</v>
      </c>
      <c r="D18" s="6">
        <f t="shared" ref="D18:F18" si="2">AVERAGE(D11:D17)</f>
        <v>0.40349999999999997</v>
      </c>
      <c r="E18" s="6">
        <f t="shared" si="2"/>
        <v>3.4891666666666663</v>
      </c>
      <c r="F18" s="6">
        <f t="shared" si="2"/>
        <v>0.40783333333333327</v>
      </c>
      <c r="G18" s="5"/>
      <c r="H18" s="5"/>
      <c r="I18" s="5"/>
      <c r="J18" s="5"/>
      <c r="K18" s="5"/>
      <c r="L18" s="5"/>
    </row>
    <row r="19" spans="1:12" x14ac:dyDescent="0.2">
      <c r="A19" s="5">
        <v>3</v>
      </c>
      <c r="B19" s="5">
        <v>1</v>
      </c>
      <c r="C19" s="5">
        <v>3.399</v>
      </c>
      <c r="D19" s="5">
        <v>0.40200000000000002</v>
      </c>
      <c r="E19" s="5">
        <v>3.222</v>
      </c>
      <c r="F19" s="5">
        <v>0.43099999999999999</v>
      </c>
      <c r="G19" s="5">
        <v>3.9359999999999999</v>
      </c>
      <c r="H19" s="5">
        <v>0.372</v>
      </c>
      <c r="I19" s="5">
        <v>3.8460000000000001</v>
      </c>
      <c r="J19" s="5">
        <v>0.39300000000000002</v>
      </c>
      <c r="K19" s="5" t="s">
        <v>27</v>
      </c>
      <c r="L19" s="5" t="s">
        <v>28</v>
      </c>
    </row>
    <row r="20" spans="1:12" x14ac:dyDescent="0.2">
      <c r="A20" s="5">
        <v>3</v>
      </c>
      <c r="B20" s="5">
        <v>2</v>
      </c>
      <c r="C20" s="5">
        <v>3.1970000000000001</v>
      </c>
      <c r="D20" s="5">
        <v>0.42599999999999999</v>
      </c>
      <c r="E20" s="5">
        <v>3.2280000000000002</v>
      </c>
      <c r="F20" s="5">
        <v>0.432</v>
      </c>
      <c r="G20" s="5"/>
      <c r="H20" s="5"/>
      <c r="I20" s="5"/>
      <c r="J20" s="5"/>
      <c r="K20" s="5"/>
      <c r="L20" s="5"/>
    </row>
    <row r="21" spans="1:12" x14ac:dyDescent="0.2">
      <c r="A21" s="5">
        <v>3</v>
      </c>
      <c r="B21" s="5">
        <v>3</v>
      </c>
      <c r="C21" s="5">
        <v>3.1280000000000001</v>
      </c>
      <c r="D21" s="5">
        <v>0.432</v>
      </c>
      <c r="E21" s="5">
        <v>3.2330000000000001</v>
      </c>
      <c r="F21" s="5">
        <v>0.434</v>
      </c>
      <c r="G21" s="5"/>
      <c r="H21" s="5"/>
      <c r="I21" s="5"/>
      <c r="J21" s="5"/>
      <c r="K21" s="5"/>
      <c r="L21" s="5"/>
    </row>
    <row r="22" spans="1:12" x14ac:dyDescent="0.2">
      <c r="A22" s="5">
        <v>3</v>
      </c>
      <c r="B22" s="5" t="s">
        <v>47</v>
      </c>
      <c r="C22" s="5" t="s">
        <v>47</v>
      </c>
      <c r="D22" s="5" t="s">
        <v>47</v>
      </c>
      <c r="E22" s="5" t="s">
        <v>47</v>
      </c>
      <c r="F22" s="5" t="s">
        <v>47</v>
      </c>
      <c r="G22" s="5"/>
      <c r="H22" s="5"/>
      <c r="I22" s="5"/>
      <c r="J22" s="5"/>
      <c r="K22" s="5"/>
      <c r="L22" s="5"/>
    </row>
    <row r="23" spans="1:12" x14ac:dyDescent="0.2">
      <c r="A23" s="5" t="s">
        <v>51</v>
      </c>
      <c r="B23" s="5"/>
      <c r="C23" s="6">
        <f>AVERAGE(C19:C22)</f>
        <v>3.2413333333333334</v>
      </c>
      <c r="D23" s="6">
        <f t="shared" ref="D23:F23" si="3">AVERAGE(D19:D22)</f>
        <v>0.42</v>
      </c>
      <c r="E23" s="6">
        <f t="shared" si="3"/>
        <v>3.2276666666666665</v>
      </c>
      <c r="F23" s="6">
        <f t="shared" si="3"/>
        <v>0.43233333333333329</v>
      </c>
      <c r="G23" s="5"/>
      <c r="H23" s="5"/>
      <c r="I23" s="5"/>
      <c r="J23" s="5"/>
      <c r="K23" s="5"/>
      <c r="L23" s="5"/>
    </row>
    <row r="24" spans="1:12" x14ac:dyDescent="0.2">
      <c r="A24" s="5">
        <v>4</v>
      </c>
      <c r="B24" s="5">
        <v>1</v>
      </c>
      <c r="C24" s="5">
        <v>3.1930000000000001</v>
      </c>
      <c r="D24" s="5">
        <v>0.42099999999999999</v>
      </c>
      <c r="E24" s="5">
        <v>3.0049999999999999</v>
      </c>
      <c r="F24" s="5">
        <v>0.45200000000000001</v>
      </c>
      <c r="G24" s="5">
        <v>3.8839999999999999</v>
      </c>
      <c r="H24" s="5">
        <v>0.38800000000000001</v>
      </c>
      <c r="I24" s="5">
        <v>3.8039999999999998</v>
      </c>
      <c r="J24" s="5">
        <v>0.40400000000000003</v>
      </c>
      <c r="K24" s="5" t="s">
        <v>29</v>
      </c>
      <c r="L24" s="5" t="s">
        <v>30</v>
      </c>
    </row>
    <row r="25" spans="1:12" x14ac:dyDescent="0.2">
      <c r="A25" s="5">
        <v>4</v>
      </c>
      <c r="B25" s="5">
        <v>2</v>
      </c>
      <c r="C25" s="5">
        <v>2.9649999999999999</v>
      </c>
      <c r="D25" s="5">
        <v>0.44900000000000001</v>
      </c>
      <c r="E25" s="5">
        <v>3.0129999999999999</v>
      </c>
      <c r="F25" s="5">
        <v>0.45500000000000002</v>
      </c>
      <c r="G25" s="5"/>
      <c r="H25" s="5"/>
      <c r="I25" s="5"/>
      <c r="J25" s="5"/>
      <c r="K25" s="5"/>
      <c r="L25" s="5"/>
    </row>
    <row r="26" spans="1:12" x14ac:dyDescent="0.2">
      <c r="A26" s="5">
        <v>4</v>
      </c>
      <c r="B26" s="5">
        <v>3</v>
      </c>
      <c r="C26" s="5">
        <v>2.899</v>
      </c>
      <c r="D26" s="5">
        <v>0.45600000000000002</v>
      </c>
      <c r="E26" s="5">
        <v>3.0249999999999999</v>
      </c>
      <c r="F26" s="5">
        <v>0.45500000000000002</v>
      </c>
      <c r="G26" s="5"/>
      <c r="H26" s="5"/>
      <c r="I26" s="5"/>
      <c r="J26" s="5"/>
      <c r="K26" s="5"/>
      <c r="L26" s="5"/>
    </row>
    <row r="27" spans="1:12" x14ac:dyDescent="0.2">
      <c r="A27" s="5">
        <v>4</v>
      </c>
      <c r="B27" s="5" t="s">
        <v>47</v>
      </c>
      <c r="C27" s="5" t="s">
        <v>47</v>
      </c>
      <c r="D27" s="5" t="s">
        <v>47</v>
      </c>
      <c r="E27" s="5" t="s">
        <v>47</v>
      </c>
      <c r="F27" s="5" t="s">
        <v>47</v>
      </c>
      <c r="G27" s="5"/>
      <c r="H27" s="5"/>
      <c r="I27" s="5"/>
      <c r="J27" s="5"/>
      <c r="K27" s="5"/>
      <c r="L27" s="5"/>
    </row>
    <row r="28" spans="1:12" x14ac:dyDescent="0.2">
      <c r="A28" s="5" t="s">
        <v>51</v>
      </c>
      <c r="B28" s="5"/>
      <c r="C28" s="6">
        <f>AVERAGE(C24:C27)</f>
        <v>3.0189999999999997</v>
      </c>
      <c r="D28" s="6">
        <f t="shared" ref="D28:F28" si="4">AVERAGE(D24:D27)</f>
        <v>0.442</v>
      </c>
      <c r="E28" s="6">
        <f t="shared" si="4"/>
        <v>3.0143333333333331</v>
      </c>
      <c r="F28" s="6">
        <f t="shared" si="4"/>
        <v>0.45400000000000001</v>
      </c>
      <c r="G28" s="5"/>
      <c r="H28" s="5"/>
      <c r="I28" s="5"/>
      <c r="J28" s="5"/>
      <c r="K28" s="5"/>
      <c r="L28" s="5"/>
    </row>
    <row r="29" spans="1:12" x14ac:dyDescent="0.2">
      <c r="A29" s="5">
        <v>5</v>
      </c>
      <c r="B29" s="5">
        <v>1</v>
      </c>
      <c r="C29" s="5">
        <v>2.9910000000000001</v>
      </c>
      <c r="D29" s="5">
        <v>0.439</v>
      </c>
      <c r="E29" s="5">
        <v>2.7759999999999998</v>
      </c>
      <c r="F29" s="5">
        <v>0.47499999999999998</v>
      </c>
      <c r="G29" s="5">
        <v>3.827</v>
      </c>
      <c r="H29" s="5">
        <v>0.4</v>
      </c>
      <c r="I29" s="5">
        <v>3.7429999999999999</v>
      </c>
      <c r="J29" s="5">
        <v>0.41399999999999998</v>
      </c>
      <c r="K29" s="5" t="s">
        <v>31</v>
      </c>
      <c r="L29" s="5" t="s">
        <v>32</v>
      </c>
    </row>
    <row r="30" spans="1:12" x14ac:dyDescent="0.2">
      <c r="A30" s="5">
        <v>5</v>
      </c>
      <c r="B30" s="5">
        <v>2</v>
      </c>
      <c r="C30" s="5">
        <v>2.73</v>
      </c>
      <c r="D30" s="5">
        <v>0.47599999999999998</v>
      </c>
      <c r="E30" s="5">
        <v>2.7879999999999998</v>
      </c>
      <c r="F30" s="5">
        <v>0.47799999999999998</v>
      </c>
      <c r="G30" s="5"/>
      <c r="H30" s="5"/>
      <c r="I30" s="5"/>
      <c r="J30" s="5"/>
      <c r="K30" s="5"/>
      <c r="L30" s="5"/>
    </row>
    <row r="31" spans="1:12" x14ac:dyDescent="0.2">
      <c r="A31" s="5">
        <v>5</v>
      </c>
      <c r="B31" s="5">
        <v>3</v>
      </c>
      <c r="C31" s="5">
        <v>2.6629999999999998</v>
      </c>
      <c r="D31" s="5">
        <v>0.48299999999999998</v>
      </c>
      <c r="E31" s="5">
        <v>2.8029999999999999</v>
      </c>
      <c r="F31" s="5">
        <v>0.48099999999999998</v>
      </c>
      <c r="G31" s="5"/>
      <c r="H31" s="5"/>
      <c r="I31" s="5"/>
      <c r="J31" s="5"/>
      <c r="K31" s="5"/>
      <c r="L31" s="5"/>
    </row>
    <row r="32" spans="1:12" x14ac:dyDescent="0.2">
      <c r="A32" s="5">
        <v>5</v>
      </c>
      <c r="B32" s="5" t="s">
        <v>47</v>
      </c>
      <c r="C32" s="5" t="s">
        <v>47</v>
      </c>
      <c r="D32" s="5" t="s">
        <v>47</v>
      </c>
      <c r="E32" s="5" t="s">
        <v>47</v>
      </c>
      <c r="F32" s="5" t="s">
        <v>47</v>
      </c>
      <c r="G32" s="5"/>
      <c r="H32" s="5"/>
      <c r="I32" s="5"/>
      <c r="J32" s="5"/>
      <c r="K32" s="5"/>
      <c r="L32" s="5"/>
    </row>
    <row r="33" spans="1:12" x14ac:dyDescent="0.2">
      <c r="A33" s="5" t="s">
        <v>51</v>
      </c>
      <c r="B33" s="5"/>
      <c r="C33" s="6">
        <f>AVERAGE(C29:C32)</f>
        <v>2.7946666666666666</v>
      </c>
      <c r="D33" s="6">
        <f t="shared" ref="D33:F33" si="5">AVERAGE(D29:D32)</f>
        <v>0.46600000000000003</v>
      </c>
      <c r="E33" s="6">
        <f t="shared" si="5"/>
        <v>2.7890000000000001</v>
      </c>
      <c r="F33" s="6">
        <f t="shared" si="5"/>
        <v>0.47799999999999998</v>
      </c>
      <c r="G33" s="5"/>
      <c r="H33" s="5"/>
      <c r="I33" s="5"/>
      <c r="J33" s="5"/>
      <c r="K33" s="5"/>
      <c r="L33" s="5"/>
    </row>
    <row r="34" spans="1:12" x14ac:dyDescent="0.2">
      <c r="A34" s="5">
        <v>6</v>
      </c>
      <c r="B34" s="5">
        <v>1</v>
      </c>
      <c r="C34" s="5">
        <v>2.847</v>
      </c>
      <c r="D34" s="5">
        <v>0.45400000000000001</v>
      </c>
      <c r="E34" s="5">
        <v>2.61</v>
      </c>
      <c r="F34" s="5">
        <v>0.49</v>
      </c>
      <c r="G34" s="5">
        <v>3.8530000000000002</v>
      </c>
      <c r="H34" s="5">
        <v>0.40100000000000002</v>
      </c>
      <c r="I34" s="5">
        <v>3.7639999999999998</v>
      </c>
      <c r="J34" s="5">
        <v>0.41899999999999998</v>
      </c>
      <c r="K34" s="5" t="s">
        <v>33</v>
      </c>
      <c r="L34" s="5" t="s">
        <v>34</v>
      </c>
    </row>
    <row r="35" spans="1:12" x14ac:dyDescent="0.2">
      <c r="A35" s="5">
        <v>6</v>
      </c>
      <c r="B35" s="5">
        <v>2</v>
      </c>
      <c r="C35" s="5">
        <v>2.5539999999999998</v>
      </c>
      <c r="D35" s="5">
        <v>0.496</v>
      </c>
      <c r="E35" s="5">
        <v>2.6219999999999999</v>
      </c>
      <c r="F35" s="5">
        <v>0.496</v>
      </c>
      <c r="G35" s="5"/>
      <c r="H35" s="5"/>
      <c r="I35" s="5"/>
      <c r="J35" s="5"/>
      <c r="K35" s="5"/>
      <c r="L35" s="5"/>
    </row>
    <row r="36" spans="1:12" x14ac:dyDescent="0.2">
      <c r="A36" s="5">
        <v>6</v>
      </c>
      <c r="B36" s="5">
        <v>3</v>
      </c>
      <c r="C36" s="5">
        <v>2.4860000000000002</v>
      </c>
      <c r="D36" s="5">
        <v>0.504</v>
      </c>
      <c r="E36" s="5">
        <v>2.641</v>
      </c>
      <c r="F36" s="5">
        <v>0.496</v>
      </c>
      <c r="G36" s="5"/>
      <c r="H36" s="5"/>
      <c r="I36" s="5"/>
      <c r="J36" s="5"/>
      <c r="K36" s="5"/>
      <c r="L36" s="5"/>
    </row>
    <row r="37" spans="1:12" x14ac:dyDescent="0.2">
      <c r="A37" s="5">
        <v>6</v>
      </c>
      <c r="B37" s="5" t="s">
        <v>47</v>
      </c>
      <c r="C37" s="5" t="s">
        <v>47</v>
      </c>
      <c r="D37" s="5" t="s">
        <v>47</v>
      </c>
      <c r="E37" s="5" t="s">
        <v>47</v>
      </c>
      <c r="F37" s="5" t="s">
        <v>47</v>
      </c>
      <c r="G37" s="5"/>
      <c r="H37" s="5"/>
      <c r="I37" s="5"/>
      <c r="J37" s="5"/>
      <c r="K37" s="5"/>
    </row>
    <row r="38" spans="1:12" x14ac:dyDescent="0.2">
      <c r="A38" s="5" t="s">
        <v>51</v>
      </c>
      <c r="C38" s="3">
        <f>AVERAGE(C34:C37)</f>
        <v>2.629</v>
      </c>
      <c r="D38" s="3">
        <f t="shared" ref="D38:F38" si="6">AVERAGE(D34:D37)</f>
        <v>0.48466666666666663</v>
      </c>
      <c r="E38" s="3">
        <f t="shared" si="6"/>
        <v>2.624333333333333</v>
      </c>
      <c r="F38" s="3">
        <f t="shared" si="6"/>
        <v>0.49399999999999999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Sheet6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Dae-Kyoo Kim</dc:creator>
  <cp:lastModifiedBy>Dae-Kyoo Kim</cp:lastModifiedBy>
  <dcterms:created xsi:type="dcterms:W3CDTF">2025-09-02T20:34:38Z</dcterms:created>
  <dcterms:modified xsi:type="dcterms:W3CDTF">2025-09-16T10:51:32Z</dcterms:modified>
</cp:coreProperties>
</file>