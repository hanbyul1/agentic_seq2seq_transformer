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e-kyookim/Library/CloudStorage/Dropbox/SPE2026/experiments/"/>
    </mc:Choice>
  </mc:AlternateContent>
  <xr:revisionPtr revIDLastSave="0" documentId="13_ncr:1_{9C0D9674-4FBC-A74E-8F5B-10C8BCFDDA85}" xr6:coauthVersionLast="47" xr6:coauthVersionMax="47" xr10:uidLastSave="{00000000-0000-0000-0000-000000000000}"/>
  <bookViews>
    <workbookView xWindow="2000" yWindow="4640" windowWidth="32400" windowHeight="19900" activeTab="2" xr2:uid="{2C06E65A-CF5D-F94A-BDAC-5587C1F23F8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3" l="1"/>
  <c r="R14" i="3"/>
  <c r="P14" i="3"/>
  <c r="O14" i="3"/>
  <c r="R3" i="3"/>
  <c r="R4" i="3"/>
  <c r="R5" i="3"/>
  <c r="R6" i="3"/>
  <c r="R7" i="3"/>
  <c r="R8" i="3"/>
  <c r="R9" i="3"/>
  <c r="R10" i="3"/>
  <c r="R11" i="3"/>
  <c r="R12" i="3"/>
  <c r="R13" i="3"/>
  <c r="R2" i="3"/>
  <c r="Q3" i="3"/>
  <c r="Q4" i="3"/>
  <c r="Q5" i="3"/>
  <c r="Q6" i="3"/>
  <c r="Q7" i="3"/>
  <c r="Q8" i="3"/>
  <c r="Q9" i="3"/>
  <c r="Q10" i="3"/>
  <c r="Q11" i="3"/>
  <c r="Q12" i="3"/>
  <c r="Q13" i="3"/>
  <c r="Q2" i="3"/>
  <c r="E8" i="3"/>
  <c r="D8" i="3"/>
  <c r="C8" i="3"/>
  <c r="B8" i="3"/>
  <c r="C8" i="2"/>
  <c r="D8" i="2"/>
  <c r="E8" i="2"/>
  <c r="F8" i="2"/>
  <c r="G8" i="2"/>
  <c r="B8" i="2"/>
  <c r="P8" i="6"/>
  <c r="Q8" i="6"/>
  <c r="R8" i="6"/>
  <c r="S8" i="6"/>
  <c r="T8" i="6"/>
  <c r="U8" i="6"/>
  <c r="V8" i="6"/>
  <c r="W8" i="6"/>
  <c r="X8" i="6"/>
  <c r="Y8" i="6"/>
  <c r="Z8" i="6"/>
  <c r="AA8" i="6"/>
  <c r="O8" i="6"/>
  <c r="Q8" i="5"/>
  <c r="R8" i="5"/>
  <c r="S8" i="5"/>
  <c r="T8" i="5"/>
  <c r="U8" i="5"/>
  <c r="V8" i="5"/>
  <c r="W8" i="5"/>
  <c r="X8" i="5"/>
  <c r="Y8" i="5"/>
  <c r="Z8" i="5"/>
  <c r="AA8" i="5"/>
  <c r="P8" i="5"/>
  <c r="O8" i="5"/>
  <c r="D35" i="6"/>
  <c r="E35" i="6"/>
  <c r="F35" i="6"/>
  <c r="C35" i="6"/>
  <c r="D31" i="6"/>
  <c r="E31" i="6"/>
  <c r="F31" i="6"/>
  <c r="C31" i="6"/>
  <c r="D27" i="6"/>
  <c r="E27" i="6"/>
  <c r="F27" i="6"/>
  <c r="C27" i="6"/>
  <c r="D23" i="6"/>
  <c r="E23" i="6"/>
  <c r="F23" i="6"/>
  <c r="C23" i="6"/>
  <c r="D19" i="6"/>
  <c r="E19" i="6"/>
  <c r="F19" i="6"/>
  <c r="C19" i="6"/>
  <c r="D10" i="6"/>
  <c r="E10" i="6"/>
  <c r="F10" i="6"/>
  <c r="C10" i="6"/>
  <c r="D25" i="5"/>
  <c r="E25" i="5"/>
  <c r="F25" i="5"/>
  <c r="C25" i="5"/>
  <c r="D21" i="5"/>
  <c r="E21" i="5"/>
  <c r="F21" i="5"/>
  <c r="C21" i="5"/>
  <c r="D17" i="5"/>
  <c r="E17" i="5"/>
  <c r="F17" i="5"/>
  <c r="C17" i="5"/>
  <c r="D13" i="5"/>
  <c r="E13" i="5"/>
  <c r="F13" i="5"/>
  <c r="C13" i="5"/>
  <c r="D9" i="5"/>
  <c r="E9" i="5"/>
  <c r="F9" i="5"/>
  <c r="C9" i="5"/>
  <c r="D5" i="5"/>
  <c r="E5" i="5"/>
  <c r="F5" i="5"/>
  <c r="C5" i="5"/>
  <c r="J8" i="1" l="1"/>
  <c r="K8" i="1"/>
  <c r="L8" i="1"/>
  <c r="M8" i="1"/>
  <c r="I8" i="1"/>
  <c r="D61" i="1"/>
  <c r="E61" i="1"/>
  <c r="F61" i="1"/>
  <c r="C61" i="1"/>
  <c r="D46" i="1"/>
  <c r="E46" i="1"/>
  <c r="F46" i="1"/>
  <c r="C46" i="1"/>
  <c r="D33" i="1"/>
  <c r="E33" i="1"/>
  <c r="F33" i="1"/>
  <c r="C33" i="1"/>
  <c r="D22" i="1"/>
  <c r="E22" i="1"/>
  <c r="F22" i="1"/>
  <c r="C22" i="1"/>
  <c r="D13" i="1"/>
  <c r="E13" i="1"/>
  <c r="F13" i="1"/>
  <c r="C13" i="1"/>
  <c r="D6" i="1"/>
  <c r="E6" i="1"/>
  <c r="F6" i="1"/>
  <c r="C6" i="1"/>
</calcChain>
</file>

<file path=xl/sharedStrings.xml><?xml version="1.0" encoding="utf-8"?>
<sst xmlns="http://schemas.openxmlformats.org/spreadsheetml/2006/main" count="152" uniqueCount="67">
  <si>
    <t>Round</t>
  </si>
  <si>
    <t>Epoch</t>
  </si>
  <si>
    <t>IMPL CE (no-spec)</t>
  </si>
  <si>
    <t>IMPL CE (with spec)</t>
  </si>
  <si>
    <t>ΔCE</t>
  </si>
  <si>
    <t>Δacc</t>
  </si>
  <si>
    <t>Sampled</t>
  </si>
  <si>
    <t>Avg Tokens</t>
  </si>
  <si>
    <t>Avg Lines</t>
  </si>
  <si>
    <t>Code Leak Lines</t>
  </si>
  <si>
    <t>TrainCE</t>
  </si>
  <si>
    <t>TrainAcc</t>
  </si>
  <si>
    <t>DevCE</t>
  </si>
  <si>
    <t>DevAcc</t>
  </si>
  <si>
    <t>Before FT CE</t>
  </si>
  <si>
    <t>Before FT tok_acc</t>
  </si>
  <si>
    <t>After FT CE</t>
  </si>
  <si>
    <t>After FT tok_acc</t>
  </si>
  <si>
    <t>ΔCE %</t>
  </si>
  <si>
    <t>Δacc %</t>
  </si>
  <si>
    <t>IMPL acc (no-spec)</t>
  </si>
  <si>
    <t>JT Epochs</t>
  </si>
  <si>
    <t>FT Epochs</t>
  </si>
  <si>
    <t>Eff. FT ($ft_ep \times p$)</t>
  </si>
  <si>
    <t>Savings ($jt_ep/$Eff FT)</t>
  </si>
  <si>
    <t>Agent</t>
  </si>
  <si>
    <t>JT</t>
  </si>
  <si>
    <t>FT</t>
  </si>
  <si>
    <t>Eff FT</t>
  </si>
  <si>
    <t>Savings</t>
  </si>
  <si>
    <t>Spec</t>
  </si>
  <si>
    <t>Impl</t>
  </si>
  <si>
    <t>Eff. FT (JT eqv)</t>
  </si>
  <si>
    <t>Savings Ratio</t>
  </si>
  <si>
    <t>Average</t>
  </si>
  <si>
    <t>Spec CE</t>
  </si>
  <si>
    <t>Spec Acc</t>
  </si>
  <si>
    <t>Impl CE</t>
  </si>
  <si>
    <t>Impl Acc</t>
  </si>
  <si>
    <t>IMPL acc (with spec)</t>
  </si>
  <si>
    <t>ΔCE (%)</t>
  </si>
  <si>
    <t>Δacc (%)</t>
  </si>
  <si>
    <t>-0.066 (-1.21%)</t>
  </si>
  <si>
    <t>+0.018 (+6.69%)</t>
  </si>
  <si>
    <t>+0.022 (+0.42%)</t>
  </si>
  <si>
    <t>+0.012 (+3.78%)</t>
  </si>
  <si>
    <t>+0.087 (+1.74%)</t>
  </si>
  <si>
    <t>+0.012 (+3.38%)</t>
  </si>
  <si>
    <t>+0.170 (+3.40%)</t>
  </si>
  <si>
    <t>+0.008 (+2.25%)</t>
  </si>
  <si>
    <t>+0.223 (+4.39%)</t>
  </si>
  <si>
    <t>+0.008 (+2.21%)</t>
  </si>
  <si>
    <t>+0.134 (+2.50%)</t>
  </si>
  <si>
    <t>+0.001 (+0.15%)</t>
  </si>
  <si>
    <t>-0.343 (-5.74%)</t>
  </si>
  <si>
    <t>+0.082 (+99.07%)</t>
  </si>
  <si>
    <t>-0.196 (-3.39%)</t>
  </si>
  <si>
    <t>+0.035 (+25.00%)</t>
  </si>
  <si>
    <t>-0.047 (-0.85%)</t>
  </si>
  <si>
    <t>+0.010 (+5.99%)</t>
  </si>
  <si>
    <t>+0.007 (+0.13%)</t>
  </si>
  <si>
    <t>-0.002 (-1.24%)</t>
  </si>
  <si>
    <t>+0.055 (+1.02%)</t>
  </si>
  <si>
    <t>+0.008 (+4.53%)</t>
  </si>
  <si>
    <t>-0.005 (-0.09%)</t>
  </si>
  <si>
    <t>+0.002 (+1.20%)</t>
  </si>
  <si>
    <t>Averge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</si>
</sst>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7289-796D-E345-B7D0-F5B9A7C36ACC}">
  <dimension ref="A1:M61"/>
  <sheetViews>
    <sheetView workbookViewId="0">
      <selection activeCell="H1" sqref="H1:M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38</v>
      </c>
      <c r="H1" t="s">
        <v>0</v>
      </c>
      <c r="I1" t="s">
        <v>1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">
      <c r="A2">
        <v>1</v>
      </c>
      <c r="B2">
        <v>1</v>
      </c>
      <c r="C2">
        <v>7.7290000000000001</v>
      </c>
      <c r="D2">
        <v>3.5000000000000003E-2</v>
      </c>
      <c r="E2">
        <v>7.8730000000000002</v>
      </c>
      <c r="F2">
        <v>4.5999999999999999E-2</v>
      </c>
      <c r="H2">
        <v>1</v>
      </c>
      <c r="I2">
        <v>4</v>
      </c>
      <c r="J2" s="1">
        <v>6.25875</v>
      </c>
      <c r="K2" s="1">
        <v>0.14874999999999999</v>
      </c>
      <c r="L2" s="1">
        <v>6.4077500000000001</v>
      </c>
      <c r="M2" s="1">
        <v>5.9249999999999997E-2</v>
      </c>
    </row>
    <row r="3" spans="1:13" x14ac:dyDescent="0.2">
      <c r="A3">
        <v>1</v>
      </c>
      <c r="B3">
        <v>2</v>
      </c>
      <c r="C3">
        <v>6.4459999999999997</v>
      </c>
      <c r="D3">
        <v>7.1999999999999995E-2</v>
      </c>
      <c r="E3">
        <v>6.468</v>
      </c>
      <c r="F3">
        <v>5.8999999999999997E-2</v>
      </c>
      <c r="H3">
        <v>2</v>
      </c>
      <c r="I3">
        <v>6</v>
      </c>
      <c r="J3" s="1">
        <v>5.7313333333333327</v>
      </c>
      <c r="K3" s="1">
        <v>0.20049999999999998</v>
      </c>
      <c r="L3" s="1">
        <v>6.0235000000000012</v>
      </c>
      <c r="M3" s="1">
        <v>7.8333333333333324E-2</v>
      </c>
    </row>
    <row r="4" spans="1:13" x14ac:dyDescent="0.2">
      <c r="A4">
        <v>1</v>
      </c>
      <c r="B4">
        <v>3</v>
      </c>
      <c r="C4">
        <v>5.6760000000000002</v>
      </c>
      <c r="D4">
        <v>0.20899999999999999</v>
      </c>
      <c r="E4">
        <v>5.7569999999999997</v>
      </c>
      <c r="F4">
        <v>0.06</v>
      </c>
      <c r="H4">
        <v>3</v>
      </c>
      <c r="I4">
        <v>8</v>
      </c>
      <c r="J4" s="1">
        <v>5.3384999999999998</v>
      </c>
      <c r="K4" s="1">
        <v>0.23924999999999999</v>
      </c>
      <c r="L4" s="1">
        <v>5.7149999999999999</v>
      </c>
      <c r="M4" s="1">
        <v>0.10187499999999999</v>
      </c>
    </row>
    <row r="5" spans="1:13" x14ac:dyDescent="0.2">
      <c r="A5">
        <v>1</v>
      </c>
      <c r="B5">
        <v>4</v>
      </c>
      <c r="C5">
        <v>5.1840000000000002</v>
      </c>
      <c r="D5">
        <v>0.27900000000000003</v>
      </c>
      <c r="E5">
        <v>5.5330000000000004</v>
      </c>
      <c r="F5">
        <v>7.1999999999999995E-2</v>
      </c>
      <c r="H5">
        <v>4</v>
      </c>
      <c r="I5">
        <v>10</v>
      </c>
      <c r="J5" s="1">
        <v>5.0206999999999997</v>
      </c>
      <c r="K5" s="1">
        <v>0.27129999999999999</v>
      </c>
      <c r="L5" s="1">
        <v>5.4447000000000001</v>
      </c>
      <c r="M5" s="1">
        <v>0.1244</v>
      </c>
    </row>
    <row r="6" spans="1:13" x14ac:dyDescent="0.2">
      <c r="A6" t="s">
        <v>34</v>
      </c>
      <c r="C6" s="1">
        <f>AVERAGE(C2:C5)</f>
        <v>6.25875</v>
      </c>
      <c r="D6" s="1">
        <f t="shared" ref="D6:F6" si="0">AVERAGE(D2:D5)</f>
        <v>0.14874999999999999</v>
      </c>
      <c r="E6" s="1">
        <f t="shared" si="0"/>
        <v>6.4077500000000001</v>
      </c>
      <c r="F6" s="1">
        <f t="shared" si="0"/>
        <v>5.9249999999999997E-2</v>
      </c>
      <c r="H6">
        <v>5</v>
      </c>
      <c r="I6">
        <v>12</v>
      </c>
      <c r="J6" s="1">
        <v>4.74275</v>
      </c>
      <c r="K6" s="1">
        <v>0.29799999999999999</v>
      </c>
      <c r="L6" s="1">
        <v>5.2006666666666668</v>
      </c>
      <c r="M6" s="1">
        <v>0.14583333333333334</v>
      </c>
    </row>
    <row r="7" spans="1:13" x14ac:dyDescent="0.2">
      <c r="A7">
        <v>2</v>
      </c>
      <c r="B7">
        <v>1</v>
      </c>
      <c r="C7">
        <v>7.7290000000000001</v>
      </c>
      <c r="D7">
        <v>3.5000000000000003E-2</v>
      </c>
      <c r="E7">
        <v>7.8730000000000002</v>
      </c>
      <c r="F7">
        <v>4.5999999999999999E-2</v>
      </c>
      <c r="H7">
        <v>6</v>
      </c>
      <c r="I7">
        <v>14</v>
      </c>
      <c r="J7" s="1">
        <v>4.4951428571428567</v>
      </c>
      <c r="K7" s="1">
        <v>0.32221428571428573</v>
      </c>
      <c r="L7" s="1">
        <v>4.9782857142857138</v>
      </c>
      <c r="M7" s="1">
        <v>0.16664285714285715</v>
      </c>
    </row>
    <row r="8" spans="1:13" x14ac:dyDescent="0.2">
      <c r="A8">
        <v>2</v>
      </c>
      <c r="B8">
        <v>2</v>
      </c>
      <c r="C8">
        <v>6.4459999999999997</v>
      </c>
      <c r="D8">
        <v>7.1999999999999995E-2</v>
      </c>
      <c r="E8">
        <v>6.468</v>
      </c>
      <c r="F8">
        <v>5.8999999999999997E-2</v>
      </c>
      <c r="H8" t="s">
        <v>34</v>
      </c>
      <c r="I8">
        <f>AVERAGE(I2:I7)</f>
        <v>9</v>
      </c>
      <c r="J8" s="1">
        <f t="shared" ref="J8:M8" si="1">AVERAGE(J2:J7)</f>
        <v>5.2645293650793645</v>
      </c>
      <c r="K8" s="1">
        <f t="shared" si="1"/>
        <v>0.24666904761904762</v>
      </c>
      <c r="L8" s="1">
        <f t="shared" si="1"/>
        <v>5.6283170634920632</v>
      </c>
      <c r="M8" s="1">
        <f t="shared" si="1"/>
        <v>0.11272242063492062</v>
      </c>
    </row>
    <row r="9" spans="1:13" x14ac:dyDescent="0.2">
      <c r="A9">
        <v>2</v>
      </c>
      <c r="B9">
        <v>3</v>
      </c>
      <c r="C9">
        <v>5.6760000000000002</v>
      </c>
      <c r="D9">
        <v>0.20899999999999999</v>
      </c>
      <c r="E9">
        <v>5.7569999999999997</v>
      </c>
      <c r="F9">
        <v>0.06</v>
      </c>
    </row>
    <row r="10" spans="1:13" x14ac:dyDescent="0.2">
      <c r="A10">
        <v>2</v>
      </c>
      <c r="B10">
        <v>4</v>
      </c>
      <c r="C10">
        <v>5.1840000000000002</v>
      </c>
      <c r="D10">
        <v>0.27900000000000003</v>
      </c>
      <c r="E10">
        <v>5.5330000000000004</v>
      </c>
      <c r="F10">
        <v>7.1999999999999995E-2</v>
      </c>
    </row>
    <row r="11" spans="1:13" x14ac:dyDescent="0.2">
      <c r="A11">
        <v>2</v>
      </c>
      <c r="B11">
        <v>5</v>
      </c>
      <c r="C11">
        <v>4.8250000000000002</v>
      </c>
      <c r="D11">
        <v>0.29299999999999998</v>
      </c>
      <c r="E11">
        <v>5.3650000000000002</v>
      </c>
      <c r="F11">
        <v>9.4E-2</v>
      </c>
    </row>
    <row r="12" spans="1:13" x14ac:dyDescent="0.2">
      <c r="A12">
        <v>2</v>
      </c>
      <c r="B12">
        <v>6</v>
      </c>
      <c r="C12">
        <v>4.5279999999999996</v>
      </c>
      <c r="D12">
        <v>0.315</v>
      </c>
      <c r="E12">
        <v>5.1449999999999996</v>
      </c>
      <c r="F12">
        <v>0.13900000000000001</v>
      </c>
    </row>
    <row r="13" spans="1:13" x14ac:dyDescent="0.2">
      <c r="A13" t="s">
        <v>34</v>
      </c>
      <c r="C13" s="1">
        <f>AVERAGE(C7:C12)</f>
        <v>5.7313333333333327</v>
      </c>
      <c r="D13" s="1">
        <f t="shared" ref="D13:F13" si="2">AVERAGE(D7:D12)</f>
        <v>0.20049999999999998</v>
      </c>
      <c r="E13" s="1">
        <f t="shared" si="2"/>
        <v>6.0235000000000012</v>
      </c>
      <c r="F13" s="1">
        <f t="shared" si="2"/>
        <v>7.8333333333333324E-2</v>
      </c>
    </row>
    <row r="14" spans="1:13" x14ac:dyDescent="0.2">
      <c r="A14">
        <v>3</v>
      </c>
      <c r="B14">
        <v>1</v>
      </c>
      <c r="C14">
        <v>7.7290000000000001</v>
      </c>
      <c r="D14">
        <v>3.5000000000000003E-2</v>
      </c>
      <c r="E14">
        <v>7.8730000000000002</v>
      </c>
      <c r="F14">
        <v>4.5999999999999999E-2</v>
      </c>
    </row>
    <row r="15" spans="1:13" x14ac:dyDescent="0.2">
      <c r="A15">
        <v>3</v>
      </c>
      <c r="B15">
        <v>2</v>
      </c>
      <c r="C15">
        <v>6.4459999999999997</v>
      </c>
      <c r="D15">
        <v>7.1999999999999995E-2</v>
      </c>
      <c r="E15">
        <v>6.468</v>
      </c>
      <c r="F15">
        <v>5.8999999999999997E-2</v>
      </c>
    </row>
    <row r="16" spans="1:13" x14ac:dyDescent="0.2">
      <c r="A16">
        <v>3</v>
      </c>
      <c r="B16">
        <v>3</v>
      </c>
      <c r="C16">
        <v>5.6760000000000002</v>
      </c>
      <c r="D16">
        <v>0.20899999999999999</v>
      </c>
      <c r="E16">
        <v>5.7569999999999997</v>
      </c>
      <c r="F16">
        <v>0.06</v>
      </c>
    </row>
    <row r="17" spans="1:6" x14ac:dyDescent="0.2">
      <c r="A17">
        <v>3</v>
      </c>
      <c r="B17">
        <v>4</v>
      </c>
      <c r="C17">
        <v>5.1840000000000002</v>
      </c>
      <c r="D17">
        <v>0.27900000000000003</v>
      </c>
      <c r="E17">
        <v>5.5330000000000004</v>
      </c>
      <c r="F17">
        <v>7.1999999999999995E-2</v>
      </c>
    </row>
    <row r="18" spans="1:6" x14ac:dyDescent="0.2">
      <c r="A18">
        <v>3</v>
      </c>
      <c r="B18">
        <v>5</v>
      </c>
      <c r="C18">
        <v>4.8250000000000002</v>
      </c>
      <c r="D18">
        <v>0.29299999999999998</v>
      </c>
      <c r="E18">
        <v>5.3650000000000002</v>
      </c>
      <c r="F18">
        <v>9.4E-2</v>
      </c>
    </row>
    <row r="19" spans="1:6" x14ac:dyDescent="0.2">
      <c r="A19">
        <v>3</v>
      </c>
      <c r="B19">
        <v>6</v>
      </c>
      <c r="C19">
        <v>4.5279999999999996</v>
      </c>
      <c r="D19">
        <v>0.315</v>
      </c>
      <c r="E19">
        <v>5.1449999999999996</v>
      </c>
      <c r="F19">
        <v>0.13900000000000001</v>
      </c>
    </row>
    <row r="20" spans="1:6" x14ac:dyDescent="0.2">
      <c r="A20">
        <v>3</v>
      </c>
      <c r="B20">
        <v>7</v>
      </c>
      <c r="C20">
        <v>4.2709999999999999</v>
      </c>
      <c r="D20">
        <v>0.34200000000000003</v>
      </c>
      <c r="E20">
        <v>4.9039999999999999</v>
      </c>
      <c r="F20">
        <v>0.16400000000000001</v>
      </c>
    </row>
    <row r="21" spans="1:6" x14ac:dyDescent="0.2">
      <c r="A21">
        <v>3</v>
      </c>
      <c r="B21">
        <v>8</v>
      </c>
      <c r="C21">
        <v>4.0490000000000004</v>
      </c>
      <c r="D21">
        <v>0.36899999999999999</v>
      </c>
      <c r="E21">
        <v>4.6749999999999998</v>
      </c>
      <c r="F21">
        <v>0.18099999999999999</v>
      </c>
    </row>
    <row r="22" spans="1:6" x14ac:dyDescent="0.2">
      <c r="A22" t="s">
        <v>34</v>
      </c>
      <c r="C22" s="1">
        <f>AVERAGE(C14:C21)</f>
        <v>5.3384999999999998</v>
      </c>
      <c r="D22" s="1">
        <f t="shared" ref="D22:F22" si="3">AVERAGE(D14:D21)</f>
        <v>0.23924999999999999</v>
      </c>
      <c r="E22" s="1">
        <f t="shared" si="3"/>
        <v>5.7149999999999999</v>
      </c>
      <c r="F22" s="1">
        <f t="shared" si="3"/>
        <v>0.10187499999999999</v>
      </c>
    </row>
    <row r="23" spans="1:6" x14ac:dyDescent="0.2">
      <c r="A23">
        <v>4</v>
      </c>
      <c r="B23">
        <v>1</v>
      </c>
      <c r="C23">
        <v>7.7290000000000001</v>
      </c>
      <c r="D23">
        <v>3.5000000000000003E-2</v>
      </c>
      <c r="E23">
        <v>7.8730000000000002</v>
      </c>
      <c r="F23">
        <v>4.5999999999999999E-2</v>
      </c>
    </row>
    <row r="24" spans="1:6" x14ac:dyDescent="0.2">
      <c r="A24">
        <v>4</v>
      </c>
      <c r="B24">
        <v>2</v>
      </c>
      <c r="C24">
        <v>6.4459999999999997</v>
      </c>
      <c r="D24">
        <v>7.1999999999999995E-2</v>
      </c>
      <c r="E24">
        <v>6.468</v>
      </c>
      <c r="F24">
        <v>5.8999999999999997E-2</v>
      </c>
    </row>
    <row r="25" spans="1:6" x14ac:dyDescent="0.2">
      <c r="A25">
        <v>4</v>
      </c>
      <c r="B25">
        <v>3</v>
      </c>
      <c r="C25">
        <v>5.6760000000000002</v>
      </c>
      <c r="D25">
        <v>0.20899999999999999</v>
      </c>
      <c r="E25">
        <v>5.7569999999999997</v>
      </c>
      <c r="F25">
        <v>0.06</v>
      </c>
    </row>
    <row r="26" spans="1:6" x14ac:dyDescent="0.2">
      <c r="A26">
        <v>4</v>
      </c>
      <c r="B26">
        <v>4</v>
      </c>
      <c r="C26">
        <v>5.1840000000000002</v>
      </c>
      <c r="D26">
        <v>0.27900000000000003</v>
      </c>
      <c r="E26">
        <v>5.5330000000000004</v>
      </c>
      <c r="F26">
        <v>7.1999999999999995E-2</v>
      </c>
    </row>
    <row r="27" spans="1:6" x14ac:dyDescent="0.2">
      <c r="A27">
        <v>4</v>
      </c>
      <c r="B27">
        <v>5</v>
      </c>
      <c r="C27">
        <v>4.8250000000000002</v>
      </c>
      <c r="D27">
        <v>0.29299999999999998</v>
      </c>
      <c r="E27">
        <v>5.3650000000000002</v>
      </c>
      <c r="F27">
        <v>9.4E-2</v>
      </c>
    </row>
    <row r="28" spans="1:6" x14ac:dyDescent="0.2">
      <c r="A28">
        <v>4</v>
      </c>
      <c r="B28">
        <v>6</v>
      </c>
      <c r="C28">
        <v>4.5279999999999996</v>
      </c>
      <c r="D28">
        <v>0.315</v>
      </c>
      <c r="E28">
        <v>5.1449999999999996</v>
      </c>
      <c r="F28">
        <v>0.13900000000000001</v>
      </c>
    </row>
    <row r="29" spans="1:6" x14ac:dyDescent="0.2">
      <c r="A29">
        <v>4</v>
      </c>
      <c r="B29">
        <v>7</v>
      </c>
      <c r="C29">
        <v>4.2709999999999999</v>
      </c>
      <c r="D29">
        <v>0.34200000000000003</v>
      </c>
      <c r="E29">
        <v>4.9039999999999999</v>
      </c>
      <c r="F29">
        <v>0.16400000000000001</v>
      </c>
    </row>
    <row r="30" spans="1:6" x14ac:dyDescent="0.2">
      <c r="A30">
        <v>4</v>
      </c>
      <c r="B30">
        <v>8</v>
      </c>
      <c r="C30">
        <v>4.0490000000000004</v>
      </c>
      <c r="D30">
        <v>0.36899999999999999</v>
      </c>
      <c r="E30">
        <v>4.6749999999999998</v>
      </c>
      <c r="F30">
        <v>0.18099999999999999</v>
      </c>
    </row>
    <row r="31" spans="1:6" x14ac:dyDescent="0.2">
      <c r="A31">
        <v>4</v>
      </c>
      <c r="B31">
        <v>9</v>
      </c>
      <c r="C31">
        <v>3.855</v>
      </c>
      <c r="D31">
        <v>0.39200000000000002</v>
      </c>
      <c r="E31">
        <v>4.4619999999999997</v>
      </c>
      <c r="F31">
        <v>0.20799999999999999</v>
      </c>
    </row>
    <row r="32" spans="1:6" x14ac:dyDescent="0.2">
      <c r="A32">
        <v>4</v>
      </c>
      <c r="B32">
        <v>10</v>
      </c>
      <c r="C32">
        <v>3.6440000000000001</v>
      </c>
      <c r="D32">
        <v>0.40699999999999997</v>
      </c>
      <c r="E32">
        <v>4.2649999999999997</v>
      </c>
      <c r="F32">
        <v>0.221</v>
      </c>
    </row>
    <row r="33" spans="1:6" x14ac:dyDescent="0.2">
      <c r="A33" t="s">
        <v>34</v>
      </c>
      <c r="C33" s="1">
        <f>AVERAGE(C23:C32)</f>
        <v>5.0206999999999997</v>
      </c>
      <c r="D33" s="1">
        <f t="shared" ref="D33:F33" si="4">AVERAGE(D23:D32)</f>
        <v>0.27129999999999999</v>
      </c>
      <c r="E33" s="1">
        <f t="shared" si="4"/>
        <v>5.4447000000000001</v>
      </c>
      <c r="F33" s="1">
        <f t="shared" si="4"/>
        <v>0.1244</v>
      </c>
    </row>
    <row r="34" spans="1:6" x14ac:dyDescent="0.2">
      <c r="A34">
        <v>5</v>
      </c>
      <c r="B34">
        <v>1</v>
      </c>
      <c r="C34">
        <v>7.7290000000000001</v>
      </c>
      <c r="D34">
        <v>3.5000000000000003E-2</v>
      </c>
      <c r="E34">
        <v>7.8730000000000002</v>
      </c>
      <c r="F34">
        <v>4.5999999999999999E-2</v>
      </c>
    </row>
    <row r="35" spans="1:6" x14ac:dyDescent="0.2">
      <c r="A35">
        <v>5</v>
      </c>
      <c r="B35">
        <v>2</v>
      </c>
      <c r="C35">
        <v>6.4459999999999997</v>
      </c>
      <c r="D35">
        <v>7.1999999999999995E-2</v>
      </c>
      <c r="E35">
        <v>6.468</v>
      </c>
      <c r="F35">
        <v>5.8999999999999997E-2</v>
      </c>
    </row>
    <row r="36" spans="1:6" x14ac:dyDescent="0.2">
      <c r="A36">
        <v>5</v>
      </c>
      <c r="B36">
        <v>3</v>
      </c>
      <c r="C36">
        <v>5.6760000000000002</v>
      </c>
      <c r="D36">
        <v>0.20899999999999999</v>
      </c>
      <c r="E36">
        <v>5.7569999999999997</v>
      </c>
      <c r="F36">
        <v>0.06</v>
      </c>
    </row>
    <row r="37" spans="1:6" x14ac:dyDescent="0.2">
      <c r="A37">
        <v>5</v>
      </c>
      <c r="B37">
        <v>4</v>
      </c>
      <c r="C37">
        <v>5.1840000000000002</v>
      </c>
      <c r="D37">
        <v>0.27900000000000003</v>
      </c>
      <c r="E37">
        <v>5.5330000000000004</v>
      </c>
      <c r="F37">
        <v>7.1999999999999995E-2</v>
      </c>
    </row>
    <row r="38" spans="1:6" x14ac:dyDescent="0.2">
      <c r="A38">
        <v>5</v>
      </c>
      <c r="B38">
        <v>5</v>
      </c>
      <c r="C38">
        <v>4.8250000000000002</v>
      </c>
      <c r="D38">
        <v>0.29299999999999998</v>
      </c>
      <c r="E38">
        <v>5.3650000000000002</v>
      </c>
      <c r="F38">
        <v>9.4E-2</v>
      </c>
    </row>
    <row r="39" spans="1:6" x14ac:dyDescent="0.2">
      <c r="A39">
        <v>5</v>
      </c>
      <c r="B39">
        <v>6</v>
      </c>
      <c r="C39">
        <v>4.5279999999999996</v>
      </c>
      <c r="D39">
        <v>0.315</v>
      </c>
      <c r="E39">
        <v>5.1449999999999996</v>
      </c>
      <c r="F39">
        <v>0.13900000000000001</v>
      </c>
    </row>
    <row r="40" spans="1:6" x14ac:dyDescent="0.2">
      <c r="A40">
        <v>5</v>
      </c>
      <c r="B40">
        <v>7</v>
      </c>
      <c r="C40">
        <v>4.2709999999999999</v>
      </c>
      <c r="D40">
        <v>0.34200000000000003</v>
      </c>
      <c r="E40">
        <v>4.9039999999999999</v>
      </c>
      <c r="F40">
        <v>0.16400000000000001</v>
      </c>
    </row>
    <row r="41" spans="1:6" x14ac:dyDescent="0.2">
      <c r="A41">
        <v>5</v>
      </c>
      <c r="B41">
        <v>8</v>
      </c>
      <c r="C41">
        <v>4.0490000000000004</v>
      </c>
      <c r="D41">
        <v>0.36899999999999999</v>
      </c>
      <c r="E41">
        <v>4.6749999999999998</v>
      </c>
      <c r="F41">
        <v>0.18099999999999999</v>
      </c>
    </row>
    <row r="42" spans="1:6" x14ac:dyDescent="0.2">
      <c r="A42">
        <v>5</v>
      </c>
      <c r="B42">
        <v>9</v>
      </c>
      <c r="C42">
        <v>3.855</v>
      </c>
      <c r="D42">
        <v>0.39200000000000002</v>
      </c>
      <c r="E42">
        <v>4.4619999999999997</v>
      </c>
      <c r="F42">
        <v>0.20799999999999999</v>
      </c>
    </row>
    <row r="43" spans="1:6" x14ac:dyDescent="0.2">
      <c r="A43">
        <v>5</v>
      </c>
      <c r="B43">
        <v>10</v>
      </c>
      <c r="C43">
        <v>3.6440000000000001</v>
      </c>
      <c r="D43">
        <v>0.40699999999999997</v>
      </c>
      <c r="E43">
        <v>4.2649999999999997</v>
      </c>
      <c r="F43">
        <v>0.221</v>
      </c>
    </row>
    <row r="44" spans="1:6" x14ac:dyDescent="0.2">
      <c r="A44">
        <v>5</v>
      </c>
      <c r="B44">
        <v>11</v>
      </c>
      <c r="C44">
        <v>3.4390000000000001</v>
      </c>
      <c r="D44">
        <v>0.42699999999999999</v>
      </c>
      <c r="E44">
        <v>4.0620000000000003</v>
      </c>
      <c r="F44">
        <v>0.24099999999999999</v>
      </c>
    </row>
    <row r="45" spans="1:6" x14ac:dyDescent="0.2">
      <c r="A45">
        <v>5</v>
      </c>
      <c r="B45">
        <v>12</v>
      </c>
      <c r="C45">
        <v>3.2669999999999999</v>
      </c>
      <c r="D45">
        <v>0.436</v>
      </c>
      <c r="E45">
        <v>3.899</v>
      </c>
      <c r="F45">
        <v>0.26500000000000001</v>
      </c>
    </row>
    <row r="46" spans="1:6" x14ac:dyDescent="0.2">
      <c r="A46" t="s">
        <v>34</v>
      </c>
      <c r="C46" s="1">
        <f>AVERAGE(C34:C45)</f>
        <v>4.74275</v>
      </c>
      <c r="D46" s="1">
        <f t="shared" ref="D46:F46" si="5">AVERAGE(D34:D45)</f>
        <v>0.29799999999999999</v>
      </c>
      <c r="E46" s="1">
        <f t="shared" si="5"/>
        <v>5.2006666666666668</v>
      </c>
      <c r="F46" s="1">
        <f t="shared" si="5"/>
        <v>0.14583333333333334</v>
      </c>
    </row>
    <row r="47" spans="1:6" x14ac:dyDescent="0.2">
      <c r="A47">
        <v>6</v>
      </c>
      <c r="B47">
        <v>1</v>
      </c>
      <c r="C47">
        <v>7.7290000000000001</v>
      </c>
      <c r="D47">
        <v>3.5000000000000003E-2</v>
      </c>
      <c r="E47">
        <v>7.8730000000000002</v>
      </c>
      <c r="F47">
        <v>4.5999999999999999E-2</v>
      </c>
    </row>
    <row r="48" spans="1:6" x14ac:dyDescent="0.2">
      <c r="A48">
        <v>6</v>
      </c>
      <c r="B48">
        <v>2</v>
      </c>
      <c r="C48">
        <v>6.4459999999999997</v>
      </c>
      <c r="D48">
        <v>7.1999999999999995E-2</v>
      </c>
      <c r="E48">
        <v>6.468</v>
      </c>
      <c r="F48">
        <v>5.8999999999999997E-2</v>
      </c>
    </row>
    <row r="49" spans="1:6" x14ac:dyDescent="0.2">
      <c r="A49">
        <v>6</v>
      </c>
      <c r="B49">
        <v>3</v>
      </c>
      <c r="C49">
        <v>5.6760000000000002</v>
      </c>
      <c r="D49">
        <v>0.20899999999999999</v>
      </c>
      <c r="E49">
        <v>5.7569999999999997</v>
      </c>
      <c r="F49">
        <v>0.06</v>
      </c>
    </row>
    <row r="50" spans="1:6" x14ac:dyDescent="0.2">
      <c r="A50">
        <v>6</v>
      </c>
      <c r="B50">
        <v>4</v>
      </c>
      <c r="C50">
        <v>5.1840000000000002</v>
      </c>
      <c r="D50">
        <v>0.27900000000000003</v>
      </c>
      <c r="E50">
        <v>5.5330000000000004</v>
      </c>
      <c r="F50">
        <v>7.1999999999999995E-2</v>
      </c>
    </row>
    <row r="51" spans="1:6" x14ac:dyDescent="0.2">
      <c r="A51">
        <v>6</v>
      </c>
      <c r="B51">
        <v>5</v>
      </c>
      <c r="C51">
        <v>4.8250000000000002</v>
      </c>
      <c r="D51">
        <v>0.29299999999999998</v>
      </c>
      <c r="E51">
        <v>5.3650000000000002</v>
      </c>
      <c r="F51">
        <v>9.4E-2</v>
      </c>
    </row>
    <row r="52" spans="1:6" x14ac:dyDescent="0.2">
      <c r="A52">
        <v>6</v>
      </c>
      <c r="B52">
        <v>6</v>
      </c>
      <c r="C52">
        <v>4.5279999999999996</v>
      </c>
      <c r="D52">
        <v>0.315</v>
      </c>
      <c r="E52">
        <v>5.1449999999999996</v>
      </c>
      <c r="F52">
        <v>0.13900000000000001</v>
      </c>
    </row>
    <row r="53" spans="1:6" x14ac:dyDescent="0.2">
      <c r="A53">
        <v>6</v>
      </c>
      <c r="B53">
        <v>7</v>
      </c>
      <c r="C53">
        <v>4.2709999999999999</v>
      </c>
      <c r="D53">
        <v>0.34200000000000003</v>
      </c>
      <c r="E53">
        <v>4.9039999999999999</v>
      </c>
      <c r="F53">
        <v>0.16400000000000001</v>
      </c>
    </row>
    <row r="54" spans="1:6" x14ac:dyDescent="0.2">
      <c r="A54">
        <v>6</v>
      </c>
      <c r="B54">
        <v>8</v>
      </c>
      <c r="C54">
        <v>4.0490000000000004</v>
      </c>
      <c r="D54">
        <v>0.36899999999999999</v>
      </c>
      <c r="E54">
        <v>4.6749999999999998</v>
      </c>
      <c r="F54">
        <v>0.18099999999999999</v>
      </c>
    </row>
    <row r="55" spans="1:6" x14ac:dyDescent="0.2">
      <c r="A55">
        <v>6</v>
      </c>
      <c r="B55">
        <v>9</v>
      </c>
      <c r="C55">
        <v>3.855</v>
      </c>
      <c r="D55">
        <v>0.39200000000000002</v>
      </c>
      <c r="E55">
        <v>4.4619999999999997</v>
      </c>
      <c r="F55">
        <v>0.20799999999999999</v>
      </c>
    </row>
    <row r="56" spans="1:6" x14ac:dyDescent="0.2">
      <c r="A56">
        <v>6</v>
      </c>
      <c r="B56">
        <v>10</v>
      </c>
      <c r="C56">
        <v>3.6440000000000001</v>
      </c>
      <c r="D56">
        <v>0.40699999999999997</v>
      </c>
      <c r="E56">
        <v>4.2649999999999997</v>
      </c>
      <c r="F56">
        <v>0.221</v>
      </c>
    </row>
    <row r="57" spans="1:6" x14ac:dyDescent="0.2">
      <c r="A57">
        <v>6</v>
      </c>
      <c r="B57">
        <v>11</v>
      </c>
      <c r="C57">
        <v>3.4390000000000001</v>
      </c>
      <c r="D57">
        <v>0.42699999999999999</v>
      </c>
      <c r="E57">
        <v>4.0620000000000003</v>
      </c>
      <c r="F57">
        <v>0.24099999999999999</v>
      </c>
    </row>
    <row r="58" spans="1:6" x14ac:dyDescent="0.2">
      <c r="A58">
        <v>6</v>
      </c>
      <c r="B58">
        <v>12</v>
      </c>
      <c r="C58">
        <v>3.2669999999999999</v>
      </c>
      <c r="D58">
        <v>0.436</v>
      </c>
      <c r="E58">
        <v>3.899</v>
      </c>
      <c r="F58">
        <v>0.26500000000000001</v>
      </c>
    </row>
    <row r="59" spans="1:6" x14ac:dyDescent="0.2">
      <c r="A59">
        <v>6</v>
      </c>
      <c r="B59">
        <v>13</v>
      </c>
      <c r="C59">
        <v>3.0910000000000002</v>
      </c>
      <c r="D59">
        <v>0.46</v>
      </c>
      <c r="E59">
        <v>3.73</v>
      </c>
      <c r="F59">
        <v>0.28000000000000003</v>
      </c>
    </row>
    <row r="60" spans="1:6" x14ac:dyDescent="0.2">
      <c r="A60">
        <v>6</v>
      </c>
      <c r="B60">
        <v>14</v>
      </c>
      <c r="C60">
        <v>2.9279999999999999</v>
      </c>
      <c r="D60">
        <v>0.47499999999999998</v>
      </c>
      <c r="E60">
        <v>3.5579999999999998</v>
      </c>
      <c r="F60">
        <v>0.30299999999999999</v>
      </c>
    </row>
    <row r="61" spans="1:6" x14ac:dyDescent="0.2">
      <c r="A61" t="s">
        <v>34</v>
      </c>
      <c r="C61" s="1">
        <f>AVERAGE(C47:C60)</f>
        <v>4.4951428571428567</v>
      </c>
      <c r="D61" s="1">
        <f t="shared" ref="D61:F61" si="6">AVERAGE(D47:D60)</f>
        <v>0.32221428571428573</v>
      </c>
      <c r="E61" s="1">
        <f t="shared" si="6"/>
        <v>4.9782857142857138</v>
      </c>
      <c r="F61" s="1">
        <f t="shared" si="6"/>
        <v>0.16664285714285715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4883-129C-5B4C-9C89-B52018888EF2}">
  <dimension ref="A1:G8"/>
  <sheetViews>
    <sheetView workbookViewId="0">
      <selection activeCell="H12" sqref="H12"/>
    </sheetView>
  </sheetViews>
  <sheetFormatPr baseColWidth="10" defaultRowHeight="16" x14ac:dyDescent="0.2"/>
  <sheetData>
    <row r="1" spans="1:7" x14ac:dyDescent="0.2">
      <c r="A1" t="s">
        <v>0</v>
      </c>
      <c r="B1" t="s">
        <v>2</v>
      </c>
      <c r="C1" t="s">
        <v>3</v>
      </c>
      <c r="D1" t="s">
        <v>4</v>
      </c>
      <c r="E1" t="s">
        <v>20</v>
      </c>
      <c r="F1" t="s">
        <v>39</v>
      </c>
      <c r="G1" t="s">
        <v>5</v>
      </c>
    </row>
    <row r="2" spans="1:7" x14ac:dyDescent="0.2">
      <c r="A2">
        <v>1</v>
      </c>
      <c r="B2">
        <v>5.9740000000000002</v>
      </c>
      <c r="C2">
        <v>5.9850000000000003</v>
      </c>
      <c r="D2">
        <v>1.0999999999999999E-2</v>
      </c>
      <c r="E2">
        <v>7.8E-2</v>
      </c>
      <c r="F2">
        <v>8.1000000000000003E-2</v>
      </c>
      <c r="G2">
        <v>3.0000000000000001E-3</v>
      </c>
    </row>
    <row r="3" spans="1:7" x14ac:dyDescent="0.2">
      <c r="A3">
        <v>2</v>
      </c>
      <c r="B3">
        <v>5.7359999999999998</v>
      </c>
      <c r="C3">
        <v>5.7889999999999997</v>
      </c>
      <c r="D3">
        <v>5.2999999999999999E-2</v>
      </c>
      <c r="E3">
        <v>0.14199999999999999</v>
      </c>
      <c r="F3">
        <v>0.13800000000000001</v>
      </c>
      <c r="G3">
        <v>-4.0000000000000001E-3</v>
      </c>
    </row>
    <row r="4" spans="1:7" x14ac:dyDescent="0.2">
      <c r="A4">
        <v>3</v>
      </c>
      <c r="B4">
        <v>5.5209999999999999</v>
      </c>
      <c r="C4">
        <v>5.5490000000000004</v>
      </c>
      <c r="D4">
        <v>2.8000000000000001E-2</v>
      </c>
      <c r="E4">
        <v>0.16500000000000001</v>
      </c>
      <c r="F4">
        <v>0.16600000000000001</v>
      </c>
      <c r="G4">
        <v>1E-3</v>
      </c>
    </row>
    <row r="5" spans="1:7" x14ac:dyDescent="0.2">
      <c r="A5">
        <v>4</v>
      </c>
      <c r="B5">
        <v>5.45</v>
      </c>
      <c r="C5">
        <v>5.4649999999999999</v>
      </c>
      <c r="D5">
        <v>1.4999999999999999E-2</v>
      </c>
      <c r="E5">
        <v>0.17599999999999999</v>
      </c>
      <c r="F5">
        <v>0.184</v>
      </c>
      <c r="G5">
        <v>8.0000000000000002E-3</v>
      </c>
    </row>
    <row r="6" spans="1:7" x14ac:dyDescent="0.2">
      <c r="A6">
        <v>5</v>
      </c>
      <c r="B6">
        <v>5.41</v>
      </c>
      <c r="C6">
        <v>5.42</v>
      </c>
      <c r="D6">
        <v>0.01</v>
      </c>
      <c r="E6">
        <v>0.17899999999999999</v>
      </c>
      <c r="F6">
        <v>0.189</v>
      </c>
      <c r="G6">
        <v>0.01</v>
      </c>
    </row>
    <row r="7" spans="1:7" x14ac:dyDescent="0.2">
      <c r="A7">
        <v>6</v>
      </c>
      <c r="B7">
        <v>5.6059999999999999</v>
      </c>
      <c r="C7">
        <v>5.6390000000000002</v>
      </c>
      <c r="D7">
        <v>3.3000000000000002E-2</v>
      </c>
      <c r="E7">
        <v>0.189</v>
      </c>
      <c r="F7">
        <v>0.19</v>
      </c>
      <c r="G7">
        <v>1E-3</v>
      </c>
    </row>
    <row r="8" spans="1:7" x14ac:dyDescent="0.2">
      <c r="A8" t="s">
        <v>34</v>
      </c>
      <c r="B8" s="1">
        <f>AVERAGE(B2:B7)</f>
        <v>5.6161666666666674</v>
      </c>
      <c r="C8" s="1">
        <f t="shared" ref="C8:G8" si="0">AVERAGE(C2:C7)</f>
        <v>5.6411666666666669</v>
      </c>
      <c r="D8" s="1">
        <f t="shared" si="0"/>
        <v>2.4999999999999998E-2</v>
      </c>
      <c r="E8" s="1">
        <f t="shared" si="0"/>
        <v>0.15483333333333335</v>
      </c>
      <c r="F8" s="1">
        <f t="shared" si="0"/>
        <v>0.158</v>
      </c>
      <c r="G8" s="1">
        <f t="shared" si="0"/>
        <v>3.166666666666667E-3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F652-F2F1-204B-952A-DF92F7F320D6}">
  <dimension ref="A1:R14"/>
  <sheetViews>
    <sheetView tabSelected="1" workbookViewId="0">
      <selection activeCell="P14" sqref="P14:R14"/>
    </sheetView>
  </sheetViews>
  <sheetFormatPr baseColWidth="10" defaultRowHeight="16" x14ac:dyDescent="0.2"/>
  <cols>
    <col min="4" max="4" width="12.1640625" bestFit="1" customWidth="1"/>
    <col min="5" max="5" width="11.83203125" bestFit="1" customWidth="1"/>
    <col min="10" max="10" width="20.5" bestFit="1" customWidth="1"/>
    <col min="11" max="11" width="19.83203125" bestFit="1" customWidth="1"/>
  </cols>
  <sheetData>
    <row r="1" spans="1:18" x14ac:dyDescent="0.2">
      <c r="A1" t="s">
        <v>0</v>
      </c>
      <c r="B1" t="s">
        <v>21</v>
      </c>
      <c r="C1" t="s">
        <v>22</v>
      </c>
      <c r="D1" t="s">
        <v>32</v>
      </c>
      <c r="E1" t="s">
        <v>33</v>
      </c>
      <c r="G1" t="s">
        <v>0</v>
      </c>
      <c r="H1" t="s">
        <v>21</v>
      </c>
      <c r="I1" t="s">
        <v>22</v>
      </c>
      <c r="J1" t="s">
        <v>23</v>
      </c>
      <c r="K1" t="s">
        <v>24</v>
      </c>
      <c r="M1" t="s">
        <v>0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x14ac:dyDescent="0.2">
      <c r="A2">
        <v>1</v>
      </c>
      <c r="B2">
        <v>4</v>
      </c>
      <c r="C2">
        <v>8</v>
      </c>
      <c r="D2">
        <v>1.528</v>
      </c>
      <c r="E2">
        <v>2.62</v>
      </c>
      <c r="G2">
        <v>1</v>
      </c>
      <c r="H2">
        <v>4</v>
      </c>
      <c r="I2">
        <v>8</v>
      </c>
      <c r="J2">
        <v>1.528</v>
      </c>
      <c r="K2">
        <v>2.62</v>
      </c>
      <c r="M2" s="2">
        <v>1</v>
      </c>
      <c r="N2" t="s">
        <v>30</v>
      </c>
      <c r="O2">
        <v>4</v>
      </c>
      <c r="P2">
        <v>3</v>
      </c>
      <c r="Q2">
        <f>P2*0.191</f>
        <v>0.57299999999999995</v>
      </c>
      <c r="R2" s="1">
        <f>O2/Q2</f>
        <v>6.9808027923211178</v>
      </c>
    </row>
    <row r="3" spans="1:18" x14ac:dyDescent="0.2">
      <c r="A3">
        <v>2</v>
      </c>
      <c r="B3">
        <v>6</v>
      </c>
      <c r="C3">
        <v>8</v>
      </c>
      <c r="D3">
        <v>1.528</v>
      </c>
      <c r="E3">
        <v>3.93</v>
      </c>
      <c r="G3">
        <v>2</v>
      </c>
      <c r="H3">
        <v>6</v>
      </c>
      <c r="I3">
        <v>8</v>
      </c>
      <c r="J3">
        <v>1.528</v>
      </c>
      <c r="K3">
        <v>3.93</v>
      </c>
      <c r="M3" s="2"/>
      <c r="N3" t="s">
        <v>31</v>
      </c>
      <c r="O3">
        <v>4</v>
      </c>
      <c r="P3">
        <v>8</v>
      </c>
      <c r="Q3">
        <f t="shared" ref="Q3:Q13" si="0">P3*0.191</f>
        <v>1.528</v>
      </c>
      <c r="R3" s="1">
        <f t="shared" ref="R3:R13" si="1">O3/Q3</f>
        <v>2.6178010471204187</v>
      </c>
    </row>
    <row r="4" spans="1:18" x14ac:dyDescent="0.2">
      <c r="A4">
        <v>3</v>
      </c>
      <c r="B4">
        <v>8</v>
      </c>
      <c r="C4">
        <v>3</v>
      </c>
      <c r="D4">
        <v>0.57299999999999995</v>
      </c>
      <c r="E4">
        <v>13.97</v>
      </c>
      <c r="G4">
        <v>3</v>
      </c>
      <c r="H4">
        <v>8</v>
      </c>
      <c r="I4">
        <v>3</v>
      </c>
      <c r="J4">
        <v>0.57299999999999995</v>
      </c>
      <c r="K4">
        <v>13.97</v>
      </c>
      <c r="M4" s="2">
        <v>2</v>
      </c>
      <c r="N4" t="s">
        <v>30</v>
      </c>
      <c r="O4">
        <v>6</v>
      </c>
      <c r="P4">
        <v>3</v>
      </c>
      <c r="Q4">
        <f t="shared" si="0"/>
        <v>0.57299999999999995</v>
      </c>
      <c r="R4" s="1">
        <f t="shared" si="1"/>
        <v>10.471204188481677</v>
      </c>
    </row>
    <row r="5" spans="1:18" x14ac:dyDescent="0.2">
      <c r="A5">
        <v>4</v>
      </c>
      <c r="B5">
        <v>10</v>
      </c>
      <c r="C5">
        <v>3</v>
      </c>
      <c r="D5">
        <v>0.57299999999999995</v>
      </c>
      <c r="E5">
        <v>17.45</v>
      </c>
      <c r="G5">
        <v>4</v>
      </c>
      <c r="H5">
        <v>10</v>
      </c>
      <c r="I5">
        <v>3</v>
      </c>
      <c r="J5">
        <v>0.57299999999999995</v>
      </c>
      <c r="K5">
        <v>17.45</v>
      </c>
      <c r="M5" s="2"/>
      <c r="N5" t="s">
        <v>31</v>
      </c>
      <c r="O5">
        <v>6</v>
      </c>
      <c r="P5">
        <v>8</v>
      </c>
      <c r="Q5">
        <f t="shared" si="0"/>
        <v>1.528</v>
      </c>
      <c r="R5" s="1">
        <f t="shared" si="1"/>
        <v>3.9267015706806281</v>
      </c>
    </row>
    <row r="6" spans="1:18" x14ac:dyDescent="0.2">
      <c r="A6">
        <v>5</v>
      </c>
      <c r="B6">
        <v>12</v>
      </c>
      <c r="C6">
        <v>3</v>
      </c>
      <c r="D6">
        <v>0.57299999999999995</v>
      </c>
      <c r="E6">
        <v>20.94</v>
      </c>
      <c r="G6">
        <v>5</v>
      </c>
      <c r="H6">
        <v>12</v>
      </c>
      <c r="I6">
        <v>3</v>
      </c>
      <c r="J6">
        <v>0.57299999999999995</v>
      </c>
      <c r="K6">
        <v>20.94</v>
      </c>
      <c r="M6" s="2">
        <v>3</v>
      </c>
      <c r="N6" t="s">
        <v>30</v>
      </c>
      <c r="O6">
        <v>8</v>
      </c>
      <c r="P6">
        <v>3</v>
      </c>
      <c r="Q6">
        <f t="shared" si="0"/>
        <v>0.57299999999999995</v>
      </c>
      <c r="R6" s="1">
        <f t="shared" si="1"/>
        <v>13.961605584642236</v>
      </c>
    </row>
    <row r="7" spans="1:18" x14ac:dyDescent="0.2">
      <c r="A7">
        <v>6</v>
      </c>
      <c r="B7">
        <v>14</v>
      </c>
      <c r="C7">
        <v>3</v>
      </c>
      <c r="D7">
        <v>0.57299999999999995</v>
      </c>
      <c r="E7">
        <v>24.43</v>
      </c>
      <c r="G7">
        <v>6</v>
      </c>
      <c r="H7">
        <v>14</v>
      </c>
      <c r="I7">
        <v>3</v>
      </c>
      <c r="J7">
        <v>0.57299999999999995</v>
      </c>
      <c r="K7">
        <v>24.43</v>
      </c>
      <c r="M7" s="2"/>
      <c r="N7" t="s">
        <v>31</v>
      </c>
      <c r="O7">
        <v>8</v>
      </c>
      <c r="P7">
        <v>3</v>
      </c>
      <c r="Q7">
        <f t="shared" si="0"/>
        <v>0.57299999999999995</v>
      </c>
      <c r="R7" s="1">
        <f t="shared" si="1"/>
        <v>13.961605584642236</v>
      </c>
    </row>
    <row r="8" spans="1:18" x14ac:dyDescent="0.2">
      <c r="A8" t="s">
        <v>34</v>
      </c>
      <c r="B8">
        <f>AVERAGE(B2:B7)</f>
        <v>9</v>
      </c>
      <c r="C8" s="1">
        <f t="shared" ref="C8:E8" si="2">AVERAGE(C2:C7)</f>
        <v>4.666666666666667</v>
      </c>
      <c r="D8" s="1">
        <f t="shared" ref="D8" si="3">AVERAGE(D2:D7)</f>
        <v>0.89133333333333342</v>
      </c>
      <c r="E8" s="1">
        <f t="shared" ref="E8" si="4">AVERAGE(E2:E7)</f>
        <v>13.89</v>
      </c>
      <c r="M8" s="2">
        <v>4</v>
      </c>
      <c r="N8" t="s">
        <v>30</v>
      </c>
      <c r="O8">
        <v>10</v>
      </c>
      <c r="P8">
        <v>3</v>
      </c>
      <c r="Q8">
        <f t="shared" si="0"/>
        <v>0.57299999999999995</v>
      </c>
      <c r="R8" s="1">
        <f t="shared" si="1"/>
        <v>17.452006980802793</v>
      </c>
    </row>
    <row r="9" spans="1:18" x14ac:dyDescent="0.2">
      <c r="M9" s="2"/>
      <c r="N9" t="s">
        <v>31</v>
      </c>
      <c r="O9">
        <v>10</v>
      </c>
      <c r="P9">
        <v>3</v>
      </c>
      <c r="Q9">
        <f t="shared" si="0"/>
        <v>0.57299999999999995</v>
      </c>
      <c r="R9" s="1">
        <f t="shared" si="1"/>
        <v>17.452006980802793</v>
      </c>
    </row>
    <row r="10" spans="1:18" x14ac:dyDescent="0.2">
      <c r="M10" s="2">
        <v>5</v>
      </c>
      <c r="N10" t="s">
        <v>30</v>
      </c>
      <c r="O10">
        <v>12</v>
      </c>
      <c r="P10">
        <v>3</v>
      </c>
      <c r="Q10">
        <f t="shared" si="0"/>
        <v>0.57299999999999995</v>
      </c>
      <c r="R10" s="1">
        <f t="shared" si="1"/>
        <v>20.942408376963353</v>
      </c>
    </row>
    <row r="11" spans="1:18" x14ac:dyDescent="0.2">
      <c r="M11" s="2"/>
      <c r="N11" t="s">
        <v>31</v>
      </c>
      <c r="O11">
        <v>12</v>
      </c>
      <c r="P11">
        <v>3</v>
      </c>
      <c r="Q11">
        <f t="shared" si="0"/>
        <v>0.57299999999999995</v>
      </c>
      <c r="R11" s="1">
        <f t="shared" si="1"/>
        <v>20.942408376963353</v>
      </c>
    </row>
    <row r="12" spans="1:18" x14ac:dyDescent="0.2">
      <c r="M12" s="2">
        <v>6</v>
      </c>
      <c r="N12" t="s">
        <v>30</v>
      </c>
      <c r="O12">
        <v>14</v>
      </c>
      <c r="P12">
        <v>3</v>
      </c>
      <c r="Q12">
        <f t="shared" si="0"/>
        <v>0.57299999999999995</v>
      </c>
      <c r="R12" s="1">
        <f t="shared" si="1"/>
        <v>24.43280977312391</v>
      </c>
    </row>
    <row r="13" spans="1:18" x14ac:dyDescent="0.2">
      <c r="M13" s="2"/>
      <c r="N13" t="s">
        <v>31</v>
      </c>
      <c r="O13">
        <v>14</v>
      </c>
      <c r="P13">
        <v>3</v>
      </c>
      <c r="Q13">
        <f t="shared" si="0"/>
        <v>0.57299999999999995</v>
      </c>
      <c r="R13" s="1">
        <f t="shared" si="1"/>
        <v>24.43280977312391</v>
      </c>
    </row>
    <row r="14" spans="1:18" x14ac:dyDescent="0.2">
      <c r="M14" t="s">
        <v>34</v>
      </c>
      <c r="O14">
        <f>AVERAGE(O2:O13)</f>
        <v>9</v>
      </c>
      <c r="P14" s="1">
        <f t="shared" ref="P14:R14" si="5">AVERAGE(P2:P13)</f>
        <v>3.8333333333333335</v>
      </c>
      <c r="Q14" s="1">
        <f t="shared" ref="Q14" si="6">AVERAGE(Q2:Q13)</f>
        <v>0.73216666666666697</v>
      </c>
      <c r="R14" s="1">
        <f t="shared" ref="R14" si="7">AVERAGE(R2:R13)</f>
        <v>14.797847585805705</v>
      </c>
    </row>
  </sheetData>
  <mergeCells count="6">
    <mergeCell ref="M2:M3"/>
    <mergeCell ref="M4:M5"/>
    <mergeCell ref="M6:M7"/>
    <mergeCell ref="M8:M9"/>
    <mergeCell ref="M10:M11"/>
    <mergeCell ref="M12:M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520E-5258-7241-8C0C-EC5C9C2D149F}">
  <dimension ref="A1:E7"/>
  <sheetViews>
    <sheetView workbookViewId="0">
      <selection sqref="A1:E7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1</v>
      </c>
      <c r="B2">
        <v>4</v>
      </c>
      <c r="C2">
        <v>97.5</v>
      </c>
      <c r="D2">
        <v>1</v>
      </c>
      <c r="E2">
        <v>0</v>
      </c>
    </row>
    <row r="3" spans="1:5" x14ac:dyDescent="0.2">
      <c r="A3">
        <v>2</v>
      </c>
      <c r="B3">
        <v>4</v>
      </c>
      <c r="C3">
        <v>109.5</v>
      </c>
      <c r="D3">
        <v>1</v>
      </c>
      <c r="E3">
        <v>0</v>
      </c>
    </row>
    <row r="4" spans="1:5" x14ac:dyDescent="0.2">
      <c r="A4">
        <v>3</v>
      </c>
      <c r="B4">
        <v>4</v>
      </c>
      <c r="C4">
        <v>89.75</v>
      </c>
      <c r="D4">
        <v>1</v>
      </c>
      <c r="E4">
        <v>0</v>
      </c>
    </row>
    <row r="5" spans="1:5" x14ac:dyDescent="0.2">
      <c r="A5">
        <v>4</v>
      </c>
      <c r="B5">
        <v>4</v>
      </c>
      <c r="C5">
        <v>84.25</v>
      </c>
      <c r="D5">
        <v>1</v>
      </c>
      <c r="E5">
        <v>0</v>
      </c>
    </row>
    <row r="6" spans="1:5" x14ac:dyDescent="0.2">
      <c r="A6">
        <v>5</v>
      </c>
      <c r="B6">
        <v>4</v>
      </c>
      <c r="C6">
        <v>85</v>
      </c>
      <c r="D6">
        <v>1</v>
      </c>
      <c r="E6">
        <v>0</v>
      </c>
    </row>
    <row r="7" spans="1:5" x14ac:dyDescent="0.2">
      <c r="A7">
        <v>6</v>
      </c>
      <c r="B7">
        <v>4</v>
      </c>
      <c r="C7">
        <v>89</v>
      </c>
      <c r="D7">
        <v>1</v>
      </c>
      <c r="E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9424-CE18-EC49-963D-0A2C75B8484E}">
  <dimension ref="A1:AA25"/>
  <sheetViews>
    <sheetView topLeftCell="F1" workbookViewId="0">
      <selection activeCell="N1" sqref="N1:AA8"/>
    </sheetView>
  </sheetViews>
  <sheetFormatPr baseColWidth="10" defaultRowHeight="16" x14ac:dyDescent="0.2"/>
  <cols>
    <col min="8" max="8" width="15.33203125" bestFit="1" customWidth="1"/>
    <col min="10" max="10" width="13.83203125" bestFit="1" customWidth="1"/>
    <col min="11" max="12" width="14.33203125" bestFit="1" customWidth="1"/>
  </cols>
  <sheetData>
    <row r="1" spans="1:27" x14ac:dyDescent="0.2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40</v>
      </c>
      <c r="L1" t="s">
        <v>41</v>
      </c>
      <c r="N1" t="s">
        <v>0</v>
      </c>
      <c r="O1" t="s">
        <v>1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4</v>
      </c>
      <c r="Y1" t="s">
        <v>18</v>
      </c>
      <c r="Z1" t="s">
        <v>5</v>
      </c>
      <c r="AA1" t="s">
        <v>19</v>
      </c>
    </row>
    <row r="2" spans="1:27" x14ac:dyDescent="0.2">
      <c r="A2">
        <v>1</v>
      </c>
      <c r="B2">
        <v>1</v>
      </c>
      <c r="C2">
        <v>4.9039999999999999</v>
      </c>
      <c r="D2">
        <v>0.29199999999999998</v>
      </c>
      <c r="E2">
        <v>5.431</v>
      </c>
      <c r="F2">
        <v>0.24</v>
      </c>
      <c r="G2">
        <v>5.4089999999999998</v>
      </c>
      <c r="H2">
        <v>0.27100000000000002</v>
      </c>
      <c r="I2">
        <v>5.3440000000000003</v>
      </c>
      <c r="J2">
        <v>0.28899999999999998</v>
      </c>
      <c r="K2" t="s">
        <v>42</v>
      </c>
      <c r="L2" t="s">
        <v>43</v>
      </c>
      <c r="N2">
        <v>1</v>
      </c>
      <c r="O2">
        <v>3</v>
      </c>
      <c r="P2" s="1">
        <v>4.7736666666666663</v>
      </c>
      <c r="Q2" s="1">
        <v>0.29699999999999999</v>
      </c>
      <c r="R2" s="1">
        <v>5.4563333333333333</v>
      </c>
      <c r="S2" s="1">
        <v>0.24066666666666667</v>
      </c>
      <c r="T2">
        <v>5.4089999999999998</v>
      </c>
      <c r="U2">
        <v>0.27100000000000002</v>
      </c>
      <c r="V2">
        <v>5.3440000000000003</v>
      </c>
      <c r="W2">
        <v>0.28899999999999998</v>
      </c>
      <c r="X2">
        <v>-6.6000000000000003E-2</v>
      </c>
      <c r="Y2">
        <v>-1.21</v>
      </c>
      <c r="Z2">
        <v>1.7999999999999999E-2</v>
      </c>
      <c r="AA2">
        <v>6.69</v>
      </c>
    </row>
    <row r="3" spans="1:27" x14ac:dyDescent="0.2">
      <c r="A3">
        <v>1</v>
      </c>
      <c r="B3">
        <v>2</v>
      </c>
      <c r="C3">
        <v>4.7569999999999997</v>
      </c>
      <c r="D3">
        <v>0.29899999999999999</v>
      </c>
      <c r="E3">
        <v>5.452</v>
      </c>
      <c r="F3">
        <v>0.24099999999999999</v>
      </c>
      <c r="N3">
        <v>2</v>
      </c>
      <c r="O3">
        <v>3</v>
      </c>
      <c r="P3" s="1">
        <v>4.2243333333333331</v>
      </c>
      <c r="Q3" s="1">
        <v>0.34433333333333332</v>
      </c>
      <c r="R3" s="1">
        <v>4.9086666666666661</v>
      </c>
      <c r="S3" s="1">
        <v>0.28633333333333333</v>
      </c>
      <c r="T3">
        <v>5.1680000000000001</v>
      </c>
      <c r="U3">
        <v>0.30399999999999999</v>
      </c>
      <c r="V3">
        <v>5.19</v>
      </c>
      <c r="W3">
        <v>0.316</v>
      </c>
      <c r="X3">
        <v>2.1999999999999999E-2</v>
      </c>
      <c r="Y3">
        <v>0.42</v>
      </c>
      <c r="Z3">
        <v>1.2E-2</v>
      </c>
      <c r="AA3">
        <v>3.78</v>
      </c>
    </row>
    <row r="4" spans="1:27" x14ac:dyDescent="0.2">
      <c r="A4">
        <v>1</v>
      </c>
      <c r="B4">
        <v>3</v>
      </c>
      <c r="C4">
        <v>4.66</v>
      </c>
      <c r="D4">
        <v>0.3</v>
      </c>
      <c r="E4">
        <v>5.4859999999999998</v>
      </c>
      <c r="F4">
        <v>0.24099999999999999</v>
      </c>
      <c r="N4">
        <v>3</v>
      </c>
      <c r="O4">
        <v>3</v>
      </c>
      <c r="P4" s="1">
        <v>3.8056666666666668</v>
      </c>
      <c r="Q4" s="1">
        <v>0.39600000000000007</v>
      </c>
      <c r="R4" s="1">
        <v>4.4550000000000001</v>
      </c>
      <c r="S4" s="1">
        <v>0.33466666666666667</v>
      </c>
      <c r="T4">
        <v>5.03</v>
      </c>
      <c r="U4">
        <v>0.34100000000000003</v>
      </c>
      <c r="V4">
        <v>5.117</v>
      </c>
      <c r="W4">
        <v>0.35199999999999998</v>
      </c>
      <c r="X4">
        <v>8.6999999999999994E-2</v>
      </c>
      <c r="Y4">
        <v>1.74</v>
      </c>
      <c r="Z4">
        <v>1.2E-2</v>
      </c>
      <c r="AA4">
        <v>3.38</v>
      </c>
    </row>
    <row r="5" spans="1:27" x14ac:dyDescent="0.2">
      <c r="A5" t="s">
        <v>66</v>
      </c>
      <c r="C5" s="1">
        <f>AVERAGE(C2:C4)</f>
        <v>4.7736666666666663</v>
      </c>
      <c r="D5" s="1">
        <f t="shared" ref="D5:F5" si="0">AVERAGE(D2:D4)</f>
        <v>0.29699999999999999</v>
      </c>
      <c r="E5" s="1">
        <f t="shared" si="0"/>
        <v>5.4563333333333333</v>
      </c>
      <c r="F5" s="1">
        <f t="shared" si="0"/>
        <v>0.24066666666666667</v>
      </c>
      <c r="N5">
        <v>4</v>
      </c>
      <c r="O5">
        <v>3</v>
      </c>
      <c r="P5" s="1">
        <v>3.4043333333333337</v>
      </c>
      <c r="Q5" s="1">
        <v>0.42933333333333334</v>
      </c>
      <c r="R5" s="1">
        <v>4.0583333333333336</v>
      </c>
      <c r="S5" s="1">
        <v>0.37166666666666665</v>
      </c>
      <c r="T5">
        <v>5.0019999999999998</v>
      </c>
      <c r="U5">
        <v>0.35899999999999999</v>
      </c>
      <c r="V5">
        <v>5.1719999999999997</v>
      </c>
      <c r="W5">
        <v>0.36699999999999999</v>
      </c>
      <c r="X5">
        <v>0.17</v>
      </c>
      <c r="Y5">
        <v>3.4</v>
      </c>
      <c r="Z5">
        <v>8.0000000000000002E-3</v>
      </c>
      <c r="AA5">
        <v>2.25</v>
      </c>
    </row>
    <row r="6" spans="1:27" x14ac:dyDescent="0.2">
      <c r="A6">
        <v>2</v>
      </c>
      <c r="B6">
        <v>1</v>
      </c>
      <c r="C6">
        <v>4.3319999999999999</v>
      </c>
      <c r="D6">
        <v>0.33700000000000002</v>
      </c>
      <c r="E6">
        <v>4.8680000000000003</v>
      </c>
      <c r="F6">
        <v>0.28100000000000003</v>
      </c>
      <c r="G6">
        <v>5.1680000000000001</v>
      </c>
      <c r="H6">
        <v>0.30399999999999999</v>
      </c>
      <c r="I6">
        <v>5.19</v>
      </c>
      <c r="J6">
        <v>0.316</v>
      </c>
      <c r="K6" t="s">
        <v>44</v>
      </c>
      <c r="L6" t="s">
        <v>45</v>
      </c>
      <c r="N6">
        <v>5</v>
      </c>
      <c r="O6">
        <v>3</v>
      </c>
      <c r="P6" s="1">
        <v>3.0513333333333335</v>
      </c>
      <c r="Q6" s="1">
        <v>0.46533333333333332</v>
      </c>
      <c r="R6" s="1">
        <v>3.6536666666666666</v>
      </c>
      <c r="S6" s="1">
        <v>0.39933333333333332</v>
      </c>
      <c r="T6">
        <v>5.085</v>
      </c>
      <c r="U6">
        <v>0.36499999999999999</v>
      </c>
      <c r="V6">
        <v>5.3079999999999998</v>
      </c>
      <c r="W6">
        <v>0.373</v>
      </c>
      <c r="X6">
        <v>0.223</v>
      </c>
      <c r="Y6">
        <v>4.3899999999999997</v>
      </c>
      <c r="Z6">
        <v>8.0000000000000002E-3</v>
      </c>
      <c r="AA6">
        <v>2.21</v>
      </c>
    </row>
    <row r="7" spans="1:27" x14ac:dyDescent="0.2">
      <c r="A7">
        <v>2</v>
      </c>
      <c r="B7">
        <v>2</v>
      </c>
      <c r="C7">
        <v>4.2130000000000001</v>
      </c>
      <c r="D7">
        <v>0.34699999999999998</v>
      </c>
      <c r="E7">
        <v>4.9080000000000004</v>
      </c>
      <c r="F7">
        <v>0.28599999999999998</v>
      </c>
      <c r="N7">
        <v>6</v>
      </c>
      <c r="O7">
        <v>3</v>
      </c>
      <c r="P7" s="1">
        <v>2.7683333333333331</v>
      </c>
      <c r="Q7" s="1">
        <v>0.49833333333333335</v>
      </c>
      <c r="R7" s="1">
        <v>3.3386666666666667</v>
      </c>
      <c r="S7" s="1">
        <v>0.438</v>
      </c>
      <c r="T7">
        <v>5.37</v>
      </c>
      <c r="U7">
        <v>0.376</v>
      </c>
      <c r="V7">
        <v>5.5039999999999996</v>
      </c>
      <c r="W7">
        <v>0.377</v>
      </c>
      <c r="X7">
        <v>0.13400000000000001</v>
      </c>
      <c r="Y7">
        <v>2.5</v>
      </c>
      <c r="Z7">
        <v>1E-3</v>
      </c>
      <c r="AA7">
        <v>0.15</v>
      </c>
    </row>
    <row r="8" spans="1:27" x14ac:dyDescent="0.2">
      <c r="A8">
        <v>2</v>
      </c>
      <c r="B8">
        <v>3</v>
      </c>
      <c r="C8">
        <v>4.1280000000000001</v>
      </c>
      <c r="D8">
        <v>0.34899999999999998</v>
      </c>
      <c r="E8">
        <v>4.95</v>
      </c>
      <c r="F8">
        <v>0.29199999999999998</v>
      </c>
      <c r="N8" t="s">
        <v>34</v>
      </c>
      <c r="O8">
        <f>AVERAGE(O2:O7)</f>
        <v>3</v>
      </c>
      <c r="P8" s="1">
        <f t="shared" ref="P8:AA8" si="1">AVERAGE(P2:P7)</f>
        <v>3.6712777777777776</v>
      </c>
      <c r="Q8" s="1">
        <f t="shared" ref="Q8" si="2">AVERAGE(Q2:Q7)</f>
        <v>0.40505555555555556</v>
      </c>
      <c r="R8" s="1">
        <f t="shared" ref="R8" si="3">AVERAGE(R2:R7)</f>
        <v>4.3117777777777775</v>
      </c>
      <c r="S8" s="1">
        <f t="shared" ref="S8" si="4">AVERAGE(S2:S7)</f>
        <v>0.34511111111111115</v>
      </c>
      <c r="T8" s="1">
        <f t="shared" ref="T8" si="5">AVERAGE(T2:T7)</f>
        <v>5.1773333333333333</v>
      </c>
      <c r="U8" s="1">
        <f t="shared" ref="U8" si="6">AVERAGE(U2:U7)</f>
        <v>0.33600000000000002</v>
      </c>
      <c r="V8" s="1">
        <f t="shared" ref="V8" si="7">AVERAGE(V2:V7)</f>
        <v>5.2725</v>
      </c>
      <c r="W8" s="1">
        <f t="shared" ref="W8" si="8">AVERAGE(W2:W7)</f>
        <v>0.34566666666666662</v>
      </c>
      <c r="X8" s="1">
        <f t="shared" ref="X8" si="9">AVERAGE(X2:X7)</f>
        <v>9.5000000000000015E-2</v>
      </c>
      <c r="Y8" s="1">
        <f t="shared" ref="Y8" si="10">AVERAGE(Y2:Y7)</f>
        <v>1.8733333333333331</v>
      </c>
      <c r="Z8" s="1">
        <f t="shared" ref="Z8" si="11">AVERAGE(Z2:Z7)</f>
        <v>9.8333333333333328E-3</v>
      </c>
      <c r="AA8" s="1">
        <f t="shared" ref="AA8" si="12">AVERAGE(AA2:AA7)</f>
        <v>3.0766666666666667</v>
      </c>
    </row>
    <row r="9" spans="1:27" x14ac:dyDescent="0.2">
      <c r="A9" t="s">
        <v>66</v>
      </c>
      <c r="C9" s="1">
        <f>AVERAGE(C6:C8)</f>
        <v>4.2243333333333331</v>
      </c>
      <c r="D9" s="1">
        <f t="shared" ref="D9:F9" si="13">AVERAGE(D6:D8)</f>
        <v>0.34433333333333332</v>
      </c>
      <c r="E9" s="1">
        <f t="shared" si="13"/>
        <v>4.9086666666666661</v>
      </c>
      <c r="F9" s="1">
        <f t="shared" si="13"/>
        <v>0.28633333333333333</v>
      </c>
    </row>
    <row r="10" spans="1:27" x14ac:dyDescent="0.2">
      <c r="A10">
        <v>3</v>
      </c>
      <c r="B10">
        <v>1</v>
      </c>
      <c r="C10">
        <v>3.9220000000000002</v>
      </c>
      <c r="D10">
        <v>0.39</v>
      </c>
      <c r="E10">
        <v>4.4020000000000001</v>
      </c>
      <c r="F10">
        <v>0.33100000000000002</v>
      </c>
      <c r="G10">
        <v>5.03</v>
      </c>
      <c r="H10">
        <v>0.34100000000000003</v>
      </c>
      <c r="I10">
        <v>5.117</v>
      </c>
      <c r="J10">
        <v>0.35199999999999998</v>
      </c>
      <c r="K10" t="s">
        <v>46</v>
      </c>
      <c r="L10" t="s">
        <v>47</v>
      </c>
    </row>
    <row r="11" spans="1:27" x14ac:dyDescent="0.2">
      <c r="A11">
        <v>3</v>
      </c>
      <c r="B11">
        <v>2</v>
      </c>
      <c r="C11">
        <v>3.7879999999999998</v>
      </c>
      <c r="D11">
        <v>0.39700000000000002</v>
      </c>
      <c r="E11">
        <v>4.4569999999999999</v>
      </c>
      <c r="F11">
        <v>0.33500000000000002</v>
      </c>
    </row>
    <row r="12" spans="1:27" x14ac:dyDescent="0.2">
      <c r="A12">
        <v>3</v>
      </c>
      <c r="B12">
        <v>3</v>
      </c>
      <c r="C12">
        <v>3.7069999999999999</v>
      </c>
      <c r="D12">
        <v>0.40100000000000002</v>
      </c>
      <c r="E12">
        <v>4.5060000000000002</v>
      </c>
      <c r="F12">
        <v>0.33800000000000002</v>
      </c>
    </row>
    <row r="13" spans="1:27" x14ac:dyDescent="0.2">
      <c r="A13" t="s">
        <v>66</v>
      </c>
      <c r="C13" s="1">
        <f>AVERAGE(C10:C12)</f>
        <v>3.8056666666666668</v>
      </c>
      <c r="D13" s="1">
        <f t="shared" ref="D13:F13" si="14">AVERAGE(D10:D12)</f>
        <v>0.39600000000000007</v>
      </c>
      <c r="E13" s="1">
        <f t="shared" si="14"/>
        <v>4.4550000000000001</v>
      </c>
      <c r="F13" s="1">
        <f t="shared" si="14"/>
        <v>0.33466666666666667</v>
      </c>
    </row>
    <row r="14" spans="1:27" x14ac:dyDescent="0.2">
      <c r="A14">
        <v>4</v>
      </c>
      <c r="B14">
        <v>1</v>
      </c>
      <c r="C14">
        <v>3.5169999999999999</v>
      </c>
      <c r="D14">
        <v>0.42199999999999999</v>
      </c>
      <c r="E14">
        <v>3.992</v>
      </c>
      <c r="F14">
        <v>0.371</v>
      </c>
      <c r="G14">
        <v>5.0019999999999998</v>
      </c>
      <c r="H14">
        <v>0.35899999999999999</v>
      </c>
      <c r="I14">
        <v>5.1719999999999997</v>
      </c>
      <c r="J14">
        <v>0.36699999999999999</v>
      </c>
      <c r="K14" t="s">
        <v>48</v>
      </c>
      <c r="L14" t="s">
        <v>49</v>
      </c>
    </row>
    <row r="15" spans="1:27" x14ac:dyDescent="0.2">
      <c r="A15">
        <v>4</v>
      </c>
      <c r="B15">
        <v>2</v>
      </c>
      <c r="C15">
        <v>3.3860000000000001</v>
      </c>
      <c r="D15">
        <v>0.42799999999999999</v>
      </c>
      <c r="E15">
        <v>4.0620000000000003</v>
      </c>
      <c r="F15">
        <v>0.374</v>
      </c>
    </row>
    <row r="16" spans="1:27" x14ac:dyDescent="0.2">
      <c r="A16">
        <v>4</v>
      </c>
      <c r="B16">
        <v>3</v>
      </c>
      <c r="C16">
        <v>3.31</v>
      </c>
      <c r="D16">
        <v>0.438</v>
      </c>
      <c r="E16">
        <v>4.1210000000000004</v>
      </c>
      <c r="F16">
        <v>0.37</v>
      </c>
    </row>
    <row r="17" spans="1:12" x14ac:dyDescent="0.2">
      <c r="A17" t="s">
        <v>66</v>
      </c>
      <c r="C17" s="1">
        <f>AVERAGE(C14:C16)</f>
        <v>3.4043333333333337</v>
      </c>
      <c r="D17" s="1">
        <f t="shared" ref="D17:F17" si="15">AVERAGE(D14:D16)</f>
        <v>0.42933333333333334</v>
      </c>
      <c r="E17" s="1">
        <f t="shared" si="15"/>
        <v>4.0583333333333336</v>
      </c>
      <c r="F17" s="1">
        <f t="shared" si="15"/>
        <v>0.37166666666666665</v>
      </c>
    </row>
    <row r="18" spans="1:12" x14ac:dyDescent="0.2">
      <c r="A18">
        <v>5</v>
      </c>
      <c r="B18">
        <v>1</v>
      </c>
      <c r="C18">
        <v>3.1619999999999999</v>
      </c>
      <c r="D18">
        <v>0.45500000000000002</v>
      </c>
      <c r="E18">
        <v>3.5670000000000002</v>
      </c>
      <c r="F18">
        <v>0.40200000000000002</v>
      </c>
      <c r="G18">
        <v>5.085</v>
      </c>
      <c r="H18">
        <v>0.36499999999999999</v>
      </c>
      <c r="I18">
        <v>5.3079999999999998</v>
      </c>
      <c r="J18">
        <v>0.373</v>
      </c>
      <c r="K18" t="s">
        <v>50</v>
      </c>
      <c r="L18" t="s">
        <v>51</v>
      </c>
    </row>
    <row r="19" spans="1:12" x14ac:dyDescent="0.2">
      <c r="A19">
        <v>5</v>
      </c>
      <c r="B19">
        <v>2</v>
      </c>
      <c r="C19">
        <v>3.0329999999999999</v>
      </c>
      <c r="D19">
        <v>0.46700000000000003</v>
      </c>
      <c r="E19">
        <v>3.6589999999999998</v>
      </c>
      <c r="F19">
        <v>0.39800000000000002</v>
      </c>
    </row>
    <row r="20" spans="1:12" x14ac:dyDescent="0.2">
      <c r="A20">
        <v>5</v>
      </c>
      <c r="B20">
        <v>3</v>
      </c>
      <c r="C20">
        <v>2.9590000000000001</v>
      </c>
      <c r="D20">
        <v>0.47399999999999998</v>
      </c>
      <c r="E20">
        <v>3.7349999999999999</v>
      </c>
      <c r="F20">
        <v>0.39800000000000002</v>
      </c>
    </row>
    <row r="21" spans="1:12" x14ac:dyDescent="0.2">
      <c r="A21" t="s">
        <v>66</v>
      </c>
      <c r="C21" s="1">
        <f>AVERAGE(C18:C20)</f>
        <v>3.0513333333333335</v>
      </c>
      <c r="D21" s="1">
        <f t="shared" ref="D21:F21" si="16">AVERAGE(D18:D20)</f>
        <v>0.46533333333333332</v>
      </c>
      <c r="E21" s="1">
        <f t="shared" si="16"/>
        <v>3.6536666666666666</v>
      </c>
      <c r="F21" s="1">
        <f t="shared" si="16"/>
        <v>0.39933333333333332</v>
      </c>
    </row>
    <row r="22" spans="1:12" x14ac:dyDescent="0.2">
      <c r="A22">
        <v>6</v>
      </c>
      <c r="B22">
        <v>1</v>
      </c>
      <c r="C22">
        <v>2.8929999999999998</v>
      </c>
      <c r="D22">
        <v>0.48299999999999998</v>
      </c>
      <c r="E22">
        <v>3.2309999999999999</v>
      </c>
      <c r="F22">
        <v>0.441</v>
      </c>
      <c r="G22">
        <v>5.37</v>
      </c>
      <c r="H22">
        <v>0.376</v>
      </c>
      <c r="I22">
        <v>5.5039999999999996</v>
      </c>
      <c r="J22">
        <v>0.377</v>
      </c>
      <c r="K22" t="s">
        <v>52</v>
      </c>
      <c r="L22" t="s">
        <v>53</v>
      </c>
    </row>
    <row r="23" spans="1:12" x14ac:dyDescent="0.2">
      <c r="A23">
        <v>6</v>
      </c>
      <c r="B23">
        <v>2</v>
      </c>
      <c r="C23">
        <v>2.746</v>
      </c>
      <c r="D23">
        <v>0.503</v>
      </c>
      <c r="E23">
        <v>3.347</v>
      </c>
      <c r="F23">
        <v>0.438</v>
      </c>
    </row>
    <row r="24" spans="1:12" x14ac:dyDescent="0.2">
      <c r="A24">
        <v>6</v>
      </c>
      <c r="B24">
        <v>3</v>
      </c>
      <c r="C24">
        <v>2.6659999999999999</v>
      </c>
      <c r="D24">
        <v>0.50900000000000001</v>
      </c>
      <c r="E24">
        <v>3.4380000000000002</v>
      </c>
      <c r="F24">
        <v>0.435</v>
      </c>
    </row>
    <row r="25" spans="1:12" x14ac:dyDescent="0.2">
      <c r="A25" t="s">
        <v>66</v>
      </c>
      <c r="C25" s="1">
        <f>AVERAGE(C22:C24)</f>
        <v>2.7683333333333331</v>
      </c>
      <c r="D25" s="1">
        <f t="shared" ref="D25:F25" si="17">AVERAGE(D22:D24)</f>
        <v>0.49833333333333335</v>
      </c>
      <c r="E25" s="1">
        <f t="shared" si="17"/>
        <v>3.3386666666666667</v>
      </c>
      <c r="F25" s="1">
        <f t="shared" si="17"/>
        <v>0.438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FB6B-DBF1-FD4D-A242-EB8070EDC6C8}">
  <dimension ref="A1:AA35"/>
  <sheetViews>
    <sheetView topLeftCell="I1" workbookViewId="0">
      <selection activeCell="N1" sqref="N1:AA8"/>
    </sheetView>
  </sheetViews>
  <sheetFormatPr baseColWidth="10" defaultRowHeight="16" x14ac:dyDescent="0.2"/>
  <cols>
    <col min="7" max="7" width="11.33203125" bestFit="1" customWidth="1"/>
    <col min="10" max="10" width="13.83203125" bestFit="1" customWidth="1"/>
    <col min="11" max="11" width="14.33203125" bestFit="1" customWidth="1"/>
    <col min="12" max="12" width="15.33203125" bestFit="1" customWidth="1"/>
  </cols>
  <sheetData>
    <row r="1" spans="1:27" x14ac:dyDescent="0.2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40</v>
      </c>
      <c r="L1" t="s">
        <v>41</v>
      </c>
      <c r="N1" t="s">
        <v>0</v>
      </c>
      <c r="O1" t="s">
        <v>1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4</v>
      </c>
      <c r="Y1" t="s">
        <v>18</v>
      </c>
      <c r="Z1" t="s">
        <v>5</v>
      </c>
      <c r="AA1" t="s">
        <v>19</v>
      </c>
    </row>
    <row r="2" spans="1:27" x14ac:dyDescent="0.2">
      <c r="A2">
        <v>1</v>
      </c>
      <c r="B2">
        <v>1</v>
      </c>
      <c r="C2">
        <v>5.4359999999999999</v>
      </c>
      <c r="D2">
        <v>9.7000000000000003E-2</v>
      </c>
      <c r="E2">
        <v>5.2210000000000001</v>
      </c>
      <c r="F2">
        <v>0.123</v>
      </c>
      <c r="G2">
        <v>5.9720000000000004</v>
      </c>
      <c r="H2">
        <v>8.3000000000000004E-2</v>
      </c>
      <c r="I2">
        <v>5.6289999999999996</v>
      </c>
      <c r="J2">
        <v>0.16500000000000001</v>
      </c>
      <c r="K2" t="s">
        <v>54</v>
      </c>
      <c r="L2" t="s">
        <v>55</v>
      </c>
      <c r="N2">
        <v>1</v>
      </c>
      <c r="O2">
        <v>8</v>
      </c>
      <c r="P2" s="1">
        <v>4.9656250000000002</v>
      </c>
      <c r="Q2" s="1">
        <v>0.14849999999999999</v>
      </c>
      <c r="R2" s="1">
        <v>5.1022500000000006</v>
      </c>
      <c r="S2" s="1">
        <v>0.1595</v>
      </c>
      <c r="T2">
        <v>5.9720000000000004</v>
      </c>
      <c r="U2">
        <v>8.3000000000000004E-2</v>
      </c>
      <c r="V2">
        <v>5.6289999999999996</v>
      </c>
      <c r="W2">
        <v>0.16500000000000001</v>
      </c>
      <c r="X2">
        <v>-0.34300000000000003</v>
      </c>
      <c r="Y2">
        <v>-5.74</v>
      </c>
      <c r="Z2">
        <v>8.2000000000000003E-2</v>
      </c>
      <c r="AA2">
        <v>99.07</v>
      </c>
    </row>
    <row r="3" spans="1:27" x14ac:dyDescent="0.2">
      <c r="A3">
        <v>1</v>
      </c>
      <c r="B3">
        <v>2</v>
      </c>
      <c r="C3">
        <v>5.2619999999999996</v>
      </c>
      <c r="D3">
        <v>0.12</v>
      </c>
      <c r="E3">
        <v>5.2060000000000004</v>
      </c>
      <c r="F3">
        <v>0.126</v>
      </c>
      <c r="N3">
        <v>2</v>
      </c>
      <c r="O3">
        <v>8</v>
      </c>
      <c r="P3" s="1">
        <v>4.5347499999999998</v>
      </c>
      <c r="Q3" s="1">
        <v>0.192</v>
      </c>
      <c r="R3" s="1">
        <v>4.6833750000000007</v>
      </c>
      <c r="S3" s="1">
        <v>0.19525000000000003</v>
      </c>
      <c r="T3">
        <v>5.7690000000000001</v>
      </c>
      <c r="U3">
        <v>0.14099999999999999</v>
      </c>
      <c r="V3">
        <v>5.5739999999999998</v>
      </c>
      <c r="W3">
        <v>0.17699999999999999</v>
      </c>
      <c r="X3">
        <v>-0.19600000000000001</v>
      </c>
      <c r="Y3">
        <v>-3.39</v>
      </c>
      <c r="Z3">
        <v>3.5000000000000003E-2</v>
      </c>
      <c r="AA3">
        <v>25</v>
      </c>
    </row>
    <row r="4" spans="1:27" x14ac:dyDescent="0.2">
      <c r="A4">
        <v>1</v>
      </c>
      <c r="B4">
        <v>3</v>
      </c>
      <c r="C4">
        <v>5.141</v>
      </c>
      <c r="D4">
        <v>0.13700000000000001</v>
      </c>
      <c r="E4">
        <v>5.1779999999999999</v>
      </c>
      <c r="F4">
        <v>0.151</v>
      </c>
      <c r="N4">
        <v>3</v>
      </c>
      <c r="O4">
        <v>3</v>
      </c>
      <c r="P4" s="1">
        <v>4.3773333333333335</v>
      </c>
      <c r="Q4" s="1">
        <v>0.21266666666666667</v>
      </c>
      <c r="R4" s="1">
        <v>4.2689999999999992</v>
      </c>
      <c r="S4" s="1">
        <v>0.23166666666666666</v>
      </c>
      <c r="T4">
        <v>5.5430000000000001</v>
      </c>
      <c r="U4">
        <v>0.16700000000000001</v>
      </c>
      <c r="V4">
        <v>5.4960000000000004</v>
      </c>
      <c r="W4">
        <v>0.17699999999999999</v>
      </c>
      <c r="X4">
        <v>-4.7E-2</v>
      </c>
      <c r="Y4">
        <v>-0.85</v>
      </c>
      <c r="Z4">
        <v>0.01</v>
      </c>
      <c r="AA4">
        <v>5.99</v>
      </c>
    </row>
    <row r="5" spans="1:27" x14ac:dyDescent="0.2">
      <c r="A5">
        <v>1</v>
      </c>
      <c r="B5">
        <v>4</v>
      </c>
      <c r="C5">
        <v>5.0209999999999999</v>
      </c>
      <c r="D5">
        <v>0.14899999999999999</v>
      </c>
      <c r="E5">
        <v>5.1369999999999996</v>
      </c>
      <c r="F5">
        <v>0.157</v>
      </c>
      <c r="N5">
        <v>4</v>
      </c>
      <c r="O5">
        <v>3</v>
      </c>
      <c r="P5" s="1">
        <v>3.9780000000000002</v>
      </c>
      <c r="Q5" s="1">
        <v>0.25333333333333335</v>
      </c>
      <c r="R5" s="1">
        <v>3.903</v>
      </c>
      <c r="S5" s="1">
        <v>0.29266666666666663</v>
      </c>
      <c r="T5">
        <v>5.46</v>
      </c>
      <c r="U5">
        <v>0.185</v>
      </c>
      <c r="V5">
        <v>5.4669999999999996</v>
      </c>
      <c r="W5">
        <v>0.183</v>
      </c>
      <c r="X5">
        <v>7.0000000000000001E-3</v>
      </c>
      <c r="Y5">
        <v>0.13</v>
      </c>
      <c r="Z5">
        <v>-2E-3</v>
      </c>
      <c r="AA5">
        <v>-1.24</v>
      </c>
    </row>
    <row r="6" spans="1:27" x14ac:dyDescent="0.2">
      <c r="A6">
        <v>1</v>
      </c>
      <c r="B6">
        <v>5</v>
      </c>
      <c r="C6">
        <v>4.899</v>
      </c>
      <c r="D6">
        <v>0.156</v>
      </c>
      <c r="E6">
        <v>5.09</v>
      </c>
      <c r="F6">
        <v>0.16300000000000001</v>
      </c>
      <c r="N6">
        <v>5</v>
      </c>
      <c r="O6">
        <v>3</v>
      </c>
      <c r="P6" s="1">
        <v>3.6033333333333335</v>
      </c>
      <c r="Q6" s="1">
        <v>0.29600000000000004</v>
      </c>
      <c r="R6" s="1">
        <v>3.5733333333333328</v>
      </c>
      <c r="S6" s="1">
        <v>0.33900000000000002</v>
      </c>
      <c r="T6">
        <v>5.423</v>
      </c>
      <c r="U6">
        <v>0.187</v>
      </c>
      <c r="V6">
        <v>5.4790000000000001</v>
      </c>
      <c r="W6">
        <v>0.19500000000000001</v>
      </c>
      <c r="X6">
        <v>5.5E-2</v>
      </c>
      <c r="Y6">
        <v>1.02</v>
      </c>
      <c r="Z6">
        <v>8.0000000000000002E-3</v>
      </c>
      <c r="AA6">
        <v>4.53</v>
      </c>
    </row>
    <row r="7" spans="1:27" x14ac:dyDescent="0.2">
      <c r="A7">
        <v>1</v>
      </c>
      <c r="B7">
        <v>6</v>
      </c>
      <c r="C7">
        <v>4.7770000000000001</v>
      </c>
      <c r="D7">
        <v>0.16400000000000001</v>
      </c>
      <c r="E7">
        <v>5.0410000000000004</v>
      </c>
      <c r="F7">
        <v>0.18</v>
      </c>
      <c r="N7">
        <v>6</v>
      </c>
      <c r="O7">
        <v>3</v>
      </c>
      <c r="P7" s="1">
        <v>3.28</v>
      </c>
      <c r="Q7" s="1">
        <v>0.33766666666666662</v>
      </c>
      <c r="R7" s="1">
        <v>3.3553333333333328</v>
      </c>
      <c r="S7" s="1">
        <v>0.35466666666666669</v>
      </c>
      <c r="T7">
        <v>5.6230000000000002</v>
      </c>
      <c r="U7">
        <v>0.191</v>
      </c>
      <c r="V7">
        <v>5.6180000000000003</v>
      </c>
      <c r="W7">
        <v>0.19400000000000001</v>
      </c>
      <c r="X7">
        <v>-5.0000000000000001E-3</v>
      </c>
      <c r="Y7">
        <v>-0.09</v>
      </c>
      <c r="Z7">
        <v>2E-3</v>
      </c>
      <c r="AA7">
        <v>1.2</v>
      </c>
    </row>
    <row r="8" spans="1:27" x14ac:dyDescent="0.2">
      <c r="A8">
        <v>1</v>
      </c>
      <c r="B8">
        <v>7</v>
      </c>
      <c r="C8">
        <v>4.6550000000000002</v>
      </c>
      <c r="D8">
        <v>0.17499999999999999</v>
      </c>
      <c r="E8">
        <v>4.9939999999999998</v>
      </c>
      <c r="F8">
        <v>0.186</v>
      </c>
      <c r="N8" t="s">
        <v>34</v>
      </c>
      <c r="O8" s="1">
        <f>AVERAGE(O2:O7)</f>
        <v>4.666666666666667</v>
      </c>
      <c r="P8" s="1">
        <f t="shared" ref="P8:AA8" si="0">AVERAGE(P2:P7)</f>
        <v>4.1231736111111124</v>
      </c>
      <c r="Q8" s="1">
        <f t="shared" si="0"/>
        <v>0.24002777777777776</v>
      </c>
      <c r="R8" s="1">
        <f t="shared" si="0"/>
        <v>4.1477152777777784</v>
      </c>
      <c r="S8" s="1">
        <f t="shared" si="0"/>
        <v>0.262125</v>
      </c>
      <c r="T8" s="1">
        <f t="shared" si="0"/>
        <v>5.6316666666666668</v>
      </c>
      <c r="U8" s="1">
        <f t="shared" si="0"/>
        <v>0.15900000000000003</v>
      </c>
      <c r="V8" s="1">
        <f t="shared" si="0"/>
        <v>5.5438333333333327</v>
      </c>
      <c r="W8" s="1">
        <f t="shared" si="0"/>
        <v>0.18183333333333332</v>
      </c>
      <c r="X8" s="1">
        <f t="shared" si="0"/>
        <v>-8.8166666666666671E-2</v>
      </c>
      <c r="Y8" s="1">
        <f t="shared" si="0"/>
        <v>-1.4866666666666666</v>
      </c>
      <c r="Z8" s="1">
        <f t="shared" si="0"/>
        <v>2.2500000000000003E-2</v>
      </c>
      <c r="AA8" s="1">
        <f t="shared" si="0"/>
        <v>22.424999999999997</v>
      </c>
    </row>
    <row r="9" spans="1:27" x14ac:dyDescent="0.2">
      <c r="A9">
        <v>1</v>
      </c>
      <c r="B9">
        <v>8</v>
      </c>
      <c r="C9">
        <v>4.5339999999999998</v>
      </c>
      <c r="D9">
        <v>0.19</v>
      </c>
      <c r="E9">
        <v>4.9509999999999996</v>
      </c>
      <c r="F9">
        <v>0.19</v>
      </c>
    </row>
    <row r="10" spans="1:27" x14ac:dyDescent="0.2">
      <c r="A10" t="s">
        <v>34</v>
      </c>
      <c r="C10" s="1">
        <f>AVERAGE(C2:C9)</f>
        <v>4.9656250000000002</v>
      </c>
      <c r="D10" s="1">
        <f t="shared" ref="D10:F10" si="1">AVERAGE(D2:D9)</f>
        <v>0.14849999999999999</v>
      </c>
      <c r="E10" s="1">
        <f t="shared" si="1"/>
        <v>5.1022500000000006</v>
      </c>
      <c r="F10" s="1">
        <f t="shared" si="1"/>
        <v>0.1595</v>
      </c>
    </row>
    <row r="11" spans="1:27" x14ac:dyDescent="0.2">
      <c r="A11">
        <v>2</v>
      </c>
      <c r="B11">
        <v>1</v>
      </c>
      <c r="C11">
        <v>4.99</v>
      </c>
      <c r="D11">
        <v>0.16</v>
      </c>
      <c r="E11">
        <v>4.7300000000000004</v>
      </c>
      <c r="F11">
        <v>0.17199999999999999</v>
      </c>
      <c r="G11">
        <v>5.7690000000000001</v>
      </c>
      <c r="H11">
        <v>0.14099999999999999</v>
      </c>
      <c r="I11">
        <v>5.5739999999999998</v>
      </c>
      <c r="J11">
        <v>0.17699999999999999</v>
      </c>
      <c r="K11" t="s">
        <v>56</v>
      </c>
      <c r="L11" t="s">
        <v>57</v>
      </c>
    </row>
    <row r="12" spans="1:27" x14ac:dyDescent="0.2">
      <c r="A12">
        <v>2</v>
      </c>
      <c r="B12">
        <v>2</v>
      </c>
      <c r="C12">
        <v>4.8120000000000003</v>
      </c>
      <c r="D12">
        <v>0.16800000000000001</v>
      </c>
      <c r="E12">
        <v>4.7279999999999998</v>
      </c>
      <c r="F12">
        <v>0.182</v>
      </c>
    </row>
    <row r="13" spans="1:27" x14ac:dyDescent="0.2">
      <c r="A13">
        <v>2</v>
      </c>
      <c r="B13">
        <v>3</v>
      </c>
      <c r="C13">
        <v>4.6929999999999996</v>
      </c>
      <c r="D13">
        <v>0.17499999999999999</v>
      </c>
      <c r="E13">
        <v>4.718</v>
      </c>
      <c r="F13">
        <v>0.188</v>
      </c>
    </row>
    <row r="14" spans="1:27" x14ac:dyDescent="0.2">
      <c r="A14">
        <v>2</v>
      </c>
      <c r="B14">
        <v>4</v>
      </c>
      <c r="C14">
        <v>4.5789999999999997</v>
      </c>
      <c r="D14">
        <v>0.188</v>
      </c>
      <c r="E14">
        <v>4.7030000000000003</v>
      </c>
      <c r="F14">
        <v>0.193</v>
      </c>
    </row>
    <row r="15" spans="1:27" x14ac:dyDescent="0.2">
      <c r="A15">
        <v>2</v>
      </c>
      <c r="B15">
        <v>5</v>
      </c>
      <c r="C15">
        <v>4.4669999999999996</v>
      </c>
      <c r="D15">
        <v>0.19500000000000001</v>
      </c>
      <c r="E15">
        <v>4.681</v>
      </c>
      <c r="F15">
        <v>0.19900000000000001</v>
      </c>
    </row>
    <row r="16" spans="1:27" x14ac:dyDescent="0.2">
      <c r="A16">
        <v>2</v>
      </c>
      <c r="B16">
        <v>6</v>
      </c>
      <c r="C16">
        <v>4.3559999999999999</v>
      </c>
      <c r="D16">
        <v>0.20599999999999999</v>
      </c>
      <c r="E16">
        <v>4.657</v>
      </c>
      <c r="F16">
        <v>0.20699999999999999</v>
      </c>
    </row>
    <row r="17" spans="1:12" x14ac:dyDescent="0.2">
      <c r="A17">
        <v>2</v>
      </c>
      <c r="B17">
        <v>7</v>
      </c>
      <c r="C17">
        <v>4.2460000000000004</v>
      </c>
      <c r="D17">
        <v>0.218</v>
      </c>
      <c r="E17">
        <v>4.6349999999999998</v>
      </c>
      <c r="F17">
        <v>0.20499999999999999</v>
      </c>
    </row>
    <row r="18" spans="1:12" x14ac:dyDescent="0.2">
      <c r="A18">
        <v>2</v>
      </c>
      <c r="B18">
        <v>8</v>
      </c>
      <c r="C18">
        <v>4.1349999999999998</v>
      </c>
      <c r="D18">
        <v>0.22600000000000001</v>
      </c>
      <c r="E18">
        <v>4.6150000000000002</v>
      </c>
      <c r="F18">
        <v>0.216</v>
      </c>
    </row>
    <row r="19" spans="1:12" x14ac:dyDescent="0.2">
      <c r="A19" t="s">
        <v>34</v>
      </c>
      <c r="C19" s="1">
        <f>AVERAGE(C11:C18)</f>
        <v>4.5347499999999998</v>
      </c>
      <c r="D19" s="1">
        <f t="shared" ref="D19:F19" si="2">AVERAGE(D11:D18)</f>
        <v>0.192</v>
      </c>
      <c r="E19" s="1">
        <f t="shared" si="2"/>
        <v>4.6833750000000007</v>
      </c>
      <c r="F19" s="1">
        <f t="shared" si="2"/>
        <v>0.19525000000000003</v>
      </c>
    </row>
    <row r="20" spans="1:12" x14ac:dyDescent="0.2">
      <c r="A20">
        <v>3</v>
      </c>
      <c r="B20">
        <v>1</v>
      </c>
      <c r="C20">
        <v>4.5279999999999996</v>
      </c>
      <c r="D20">
        <v>0.20200000000000001</v>
      </c>
      <c r="E20">
        <v>4.2619999999999996</v>
      </c>
      <c r="F20">
        <v>0.22</v>
      </c>
      <c r="G20">
        <v>5.5430000000000001</v>
      </c>
      <c r="H20">
        <v>0.16700000000000001</v>
      </c>
      <c r="I20">
        <v>5.4960000000000004</v>
      </c>
      <c r="J20">
        <v>0.17699999999999999</v>
      </c>
      <c r="K20" t="s">
        <v>58</v>
      </c>
      <c r="L20" t="s">
        <v>59</v>
      </c>
    </row>
    <row r="21" spans="1:12" x14ac:dyDescent="0.2">
      <c r="A21">
        <v>3</v>
      </c>
      <c r="B21">
        <v>2</v>
      </c>
      <c r="C21">
        <v>4.3559999999999999</v>
      </c>
      <c r="D21">
        <v>0.21199999999999999</v>
      </c>
      <c r="E21">
        <v>4.2679999999999998</v>
      </c>
      <c r="F21">
        <v>0.23899999999999999</v>
      </c>
    </row>
    <row r="22" spans="1:12" x14ac:dyDescent="0.2">
      <c r="A22">
        <v>3</v>
      </c>
      <c r="B22">
        <v>3</v>
      </c>
      <c r="C22">
        <v>4.2480000000000002</v>
      </c>
      <c r="D22">
        <v>0.224</v>
      </c>
      <c r="E22">
        <v>4.2770000000000001</v>
      </c>
      <c r="F22">
        <v>0.23599999999999999</v>
      </c>
    </row>
    <row r="23" spans="1:12" x14ac:dyDescent="0.2">
      <c r="A23" t="s">
        <v>34</v>
      </c>
      <c r="C23" s="1">
        <f>AVERAGE(C20:C22)</f>
        <v>4.3773333333333335</v>
      </c>
      <c r="D23" s="1">
        <f t="shared" ref="D23:F23" si="3">AVERAGE(D20:D22)</f>
        <v>0.21266666666666667</v>
      </c>
      <c r="E23" s="1">
        <f t="shared" si="3"/>
        <v>4.2689999999999992</v>
      </c>
      <c r="F23" s="1">
        <f t="shared" si="3"/>
        <v>0.23166666666666666</v>
      </c>
    </row>
    <row r="24" spans="1:12" x14ac:dyDescent="0.2">
      <c r="A24">
        <v>4</v>
      </c>
      <c r="B24">
        <v>1</v>
      </c>
      <c r="C24">
        <v>4.1239999999999997</v>
      </c>
      <c r="D24">
        <v>0.24099999999999999</v>
      </c>
      <c r="E24">
        <v>3.8740000000000001</v>
      </c>
      <c r="F24">
        <v>0.28000000000000003</v>
      </c>
      <c r="G24">
        <v>5.46</v>
      </c>
      <c r="H24">
        <v>0.185</v>
      </c>
      <c r="I24">
        <v>5.4669999999999996</v>
      </c>
      <c r="J24">
        <v>0.183</v>
      </c>
      <c r="K24" t="s">
        <v>60</v>
      </c>
      <c r="L24" t="s">
        <v>61</v>
      </c>
    </row>
    <row r="25" spans="1:12" x14ac:dyDescent="0.2">
      <c r="A25">
        <v>4</v>
      </c>
      <c r="B25">
        <v>2</v>
      </c>
      <c r="C25">
        <v>3.9580000000000002</v>
      </c>
      <c r="D25">
        <v>0.253</v>
      </c>
      <c r="E25">
        <v>3.9020000000000001</v>
      </c>
      <c r="F25">
        <v>0.29699999999999999</v>
      </c>
    </row>
    <row r="26" spans="1:12" x14ac:dyDescent="0.2">
      <c r="A26">
        <v>4</v>
      </c>
      <c r="B26">
        <v>3</v>
      </c>
      <c r="C26">
        <v>3.8519999999999999</v>
      </c>
      <c r="D26">
        <v>0.26600000000000001</v>
      </c>
      <c r="E26">
        <v>3.9329999999999998</v>
      </c>
      <c r="F26">
        <v>0.30099999999999999</v>
      </c>
    </row>
    <row r="27" spans="1:12" x14ac:dyDescent="0.2">
      <c r="A27" t="s">
        <v>34</v>
      </c>
      <c r="C27" s="1">
        <f>AVERAGE(C24:C26)</f>
        <v>3.9780000000000002</v>
      </c>
      <c r="D27" s="1">
        <f t="shared" ref="D27:F27" si="4">AVERAGE(D24:D26)</f>
        <v>0.25333333333333335</v>
      </c>
      <c r="E27" s="1">
        <f t="shared" si="4"/>
        <v>3.903</v>
      </c>
      <c r="F27" s="1">
        <f t="shared" si="4"/>
        <v>0.29266666666666663</v>
      </c>
    </row>
    <row r="28" spans="1:12" x14ac:dyDescent="0.2">
      <c r="A28">
        <v>5</v>
      </c>
      <c r="B28">
        <v>1</v>
      </c>
      <c r="C28">
        <v>3.7480000000000002</v>
      </c>
      <c r="D28">
        <v>0.27700000000000002</v>
      </c>
      <c r="E28">
        <v>3.53</v>
      </c>
      <c r="F28">
        <v>0.33500000000000002</v>
      </c>
      <c r="G28">
        <v>5.423</v>
      </c>
      <c r="H28">
        <v>0.187</v>
      </c>
      <c r="I28">
        <v>5.4790000000000001</v>
      </c>
      <c r="J28">
        <v>0.19500000000000001</v>
      </c>
      <c r="K28" t="s">
        <v>62</v>
      </c>
      <c r="L28" t="s">
        <v>63</v>
      </c>
    </row>
    <row r="29" spans="1:12" x14ac:dyDescent="0.2">
      <c r="A29">
        <v>5</v>
      </c>
      <c r="B29">
        <v>2</v>
      </c>
      <c r="C29">
        <v>3.5840000000000001</v>
      </c>
      <c r="D29">
        <v>0.29899999999999999</v>
      </c>
      <c r="E29">
        <v>3.5760000000000001</v>
      </c>
      <c r="F29">
        <v>0.34300000000000003</v>
      </c>
    </row>
    <row r="30" spans="1:12" x14ac:dyDescent="0.2">
      <c r="A30">
        <v>5</v>
      </c>
      <c r="B30">
        <v>3</v>
      </c>
      <c r="C30">
        <v>3.4780000000000002</v>
      </c>
      <c r="D30">
        <v>0.312</v>
      </c>
      <c r="E30">
        <v>3.6139999999999999</v>
      </c>
      <c r="F30">
        <v>0.33900000000000002</v>
      </c>
    </row>
    <row r="31" spans="1:12" x14ac:dyDescent="0.2">
      <c r="A31" t="s">
        <v>34</v>
      </c>
      <c r="C31" s="1">
        <f>AVERAGE(C28:C30)</f>
        <v>3.6033333333333335</v>
      </c>
      <c r="D31" s="1">
        <f t="shared" ref="D31:F31" si="5">AVERAGE(D28:D30)</f>
        <v>0.29600000000000004</v>
      </c>
      <c r="E31" s="1">
        <f t="shared" si="5"/>
        <v>3.5733333333333328</v>
      </c>
      <c r="F31" s="1">
        <f t="shared" si="5"/>
        <v>0.33900000000000002</v>
      </c>
    </row>
    <row r="32" spans="1:12" x14ac:dyDescent="0.2">
      <c r="A32">
        <v>6</v>
      </c>
      <c r="B32">
        <v>1</v>
      </c>
      <c r="C32">
        <v>3.427</v>
      </c>
      <c r="D32">
        <v>0.31900000000000001</v>
      </c>
      <c r="E32">
        <v>3.2909999999999999</v>
      </c>
      <c r="F32">
        <v>0.35399999999999998</v>
      </c>
      <c r="G32">
        <v>5.6230000000000002</v>
      </c>
      <c r="H32">
        <v>0.191</v>
      </c>
      <c r="I32">
        <v>5.6180000000000003</v>
      </c>
      <c r="J32">
        <v>0.19400000000000001</v>
      </c>
      <c r="K32" t="s">
        <v>64</v>
      </c>
      <c r="L32" t="s">
        <v>65</v>
      </c>
    </row>
    <row r="33" spans="1:6" x14ac:dyDescent="0.2">
      <c r="A33">
        <v>6</v>
      </c>
      <c r="B33">
        <v>2</v>
      </c>
      <c r="C33">
        <v>3.2669999999999999</v>
      </c>
      <c r="D33">
        <v>0.33700000000000002</v>
      </c>
      <c r="E33">
        <v>3.3740000000000001</v>
      </c>
      <c r="F33">
        <v>0.35599999999999998</v>
      </c>
    </row>
    <row r="34" spans="1:6" x14ac:dyDescent="0.2">
      <c r="A34">
        <v>6</v>
      </c>
      <c r="B34">
        <v>3</v>
      </c>
      <c r="C34">
        <v>3.1459999999999999</v>
      </c>
      <c r="D34">
        <v>0.35699999999999998</v>
      </c>
      <c r="E34">
        <v>3.4009999999999998</v>
      </c>
      <c r="F34">
        <v>0.35399999999999998</v>
      </c>
    </row>
    <row r="35" spans="1:6" x14ac:dyDescent="0.2">
      <c r="A35" t="s">
        <v>34</v>
      </c>
      <c r="C35" s="1">
        <f>AVERAGE(C32:C34)</f>
        <v>3.28</v>
      </c>
      <c r="D35" s="1">
        <f t="shared" ref="D35:F35" si="6">AVERAGE(D32:D34)</f>
        <v>0.33766666666666662</v>
      </c>
      <c r="E35" s="1">
        <f t="shared" si="6"/>
        <v>3.3553333333333328</v>
      </c>
      <c r="F35" s="1">
        <f t="shared" si="6"/>
        <v>0.35466666666666669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Dae-Kyoo Kim</dc:creator>
  <cp:lastModifiedBy>Dae-Kyoo Kim</cp:lastModifiedBy>
  <dcterms:created xsi:type="dcterms:W3CDTF">2026-04-17T00:41:21Z</dcterms:created>
  <dcterms:modified xsi:type="dcterms:W3CDTF">2026-04-17T21:57:35Z</dcterms:modified>
</cp:coreProperties>
</file>